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461a717db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394d2891924333"/>
    <x:sheet xmlns:r="http://schemas.openxmlformats.org/officeDocument/2006/relationships" name="Assumptions" sheetId="2" r:id="Re22c2a14a7ff423a"/>
    <x:sheet xmlns:r="http://schemas.openxmlformats.org/officeDocument/2006/relationships" name="Patient Funnel" sheetId="3" r:id="R0ba9a25a870d475a"/>
    <x:sheet xmlns:r="http://schemas.openxmlformats.org/officeDocument/2006/relationships" name="Market Size" sheetId="4" r:id="R658b5e63b77f41de"/>
    <x:sheet xmlns:r="http://schemas.openxmlformats.org/officeDocument/2006/relationships" name="Revenue Model" sheetId="5" r:id="Rb0753aba71da4638"/>
    <x:sheet xmlns:r="http://schemas.openxmlformats.org/officeDocument/2006/relationships" name="Scenarios" sheetId="6" r:id="R54a00020ad3245d6"/>
    <x:sheet xmlns:r="http://schemas.openxmlformats.org/officeDocument/2006/relationships" name="Sensitivity" sheetId="7" r:id="R2ec23584cb8d4b53"/>
    <x:sheet xmlns:r="http://schemas.openxmlformats.org/officeDocument/2006/relationships" name="Competitors" sheetId="8" r:id="Ra0804fca742b4cab"/>
    <x:sheet xmlns:r="http://schemas.openxmlformats.org/officeDocument/2006/relationships" name="Dashboard" sheetId="9" r:id="Rf9332baf33f5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$#,##0"/>
    <x:numFmt numFmtId="202" formatCode="#,##0"/>
    <x:numFmt numFmtId="203" formatCode="$#,##0,,&quot;M&quot;"/>
    <x:numFmt numFmtId="204" formatCode="0.0x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  <x:fill>
      <x:patternFill patternType="solid">
        <x:fgColor rgb="FF1F436C"/>
      </x:patternFill>
    </x:fill>
    <x:fill>
      <x:patternFill patternType="solid">
        <x:fgColor rgb="FF245783"/>
      </x:patternFill>
    </x:fill>
  </x:fills>
  <x:borders count="2">
    <x:border/>
    <x:border/>
  </x:borders>
  <x:cellStyleXfs count="1">
    <x:xf numFmtId="0" fontId="0" fillId="0" borderId="0"/>
  </x:cellStyleXfs>
  <x:cellXfs count="1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2" fontId="4" fillId="5" borderId="1" xfId="0" applyNumberFormat="1" applyFont="1" applyFill="1" applyBorder="1"/>
    <x:xf numFmtId="200" fontId="4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201" fontId="0" fillId="5" borderId="1" xfId="0" applyNumberFormat="1" applyFont="1" applyFill="1" applyBorder="1"/>
    <x:xf numFmtId="203" fontId="0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203" fontId="0" fillId="5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3" fontId="0" fillId="5" borderId="1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2" fontId="5" fillId="6" borderId="0" xfId="0" applyNumberFormat="1" applyFont="1" applyFill="1" applyBorder="1" applyAlignment="1">
      <x:alignment horizontal="center" vertical="center" wrapText="1"/>
    </x:xf>
    <x:xf numFmtId="203" fontId="5" fillId="6" borderId="0" xfId="0" applyNumberFormat="1" applyFont="1" applyFill="1" applyBorder="1" applyAlignment="1">
      <x:alignment horizontal="center" vertic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202" fontId="5" fillId="6" borderId="1" xfId="0" applyNumberFormat="1" applyFont="1" applyFill="1" applyBorder="1" applyAlignment="1">
      <x:alignment horizontal="center" vertical="center" wrapText="1"/>
    </x:xf>
    <x:xf numFmtId="203" fontId="5" fillId="6" borderId="1" xfId="0" applyNumberFormat="1" applyFont="1" applyFill="1" applyBorder="1" applyAlignment="1">
      <x:alignment horizontal="center" vertical="center" wrapText="1"/>
    </x:xf>
    <x:xf numFmtId="20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right"/>
    </x:xf>
    <x:xf numFmtId="0" fontId="3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7aa7f3b324be5" /><Relationship Type="http://schemas.openxmlformats.org/officeDocument/2006/relationships/theme" Target="/xl/theme/theme1.xml" Id="R97ed7d7de0114378" /><Relationship Type="http://schemas.openxmlformats.org/officeDocument/2006/relationships/sharedStrings" Target="/xl/sharedStrings.xml" Id="R2aeec0b6ed8f44f3" /><Relationship Type="http://schemas.openxmlformats.org/officeDocument/2006/relationships/worksheet" Target="/xl/worksheets/sheet1.xml" Id="R91394d2891924333" /><Relationship Type="http://schemas.openxmlformats.org/officeDocument/2006/relationships/worksheet" Target="/xl/worksheets/sheet2.xml" Id="Re22c2a14a7ff423a" /><Relationship Type="http://schemas.openxmlformats.org/officeDocument/2006/relationships/worksheet" Target="/xl/worksheets/sheet3.xml" Id="R0ba9a25a870d475a" /><Relationship Type="http://schemas.openxmlformats.org/officeDocument/2006/relationships/worksheet" Target="/xl/worksheets/sheet4.xml" Id="R658b5e63b77f41de" /><Relationship Type="http://schemas.openxmlformats.org/officeDocument/2006/relationships/worksheet" Target="/xl/worksheets/sheet5.xml" Id="Rb0753aba71da4638" /><Relationship Type="http://schemas.openxmlformats.org/officeDocument/2006/relationships/worksheet" Target="/xl/worksheets/sheet6.xml" Id="R54a00020ad3245d6" /><Relationship Type="http://schemas.openxmlformats.org/officeDocument/2006/relationships/worksheet" Target="/xl/worksheets/sheet7.xml" Id="R2ec23584cb8d4b53" /><Relationship Type="http://schemas.openxmlformats.org/officeDocument/2006/relationships/worksheet" Target="/xl/worksheets/sheet8.xml" Id="Ra0804fca742b4cab" /><Relationship Type="http://schemas.openxmlformats.org/officeDocument/2006/relationships/worksheet" Target="/xl/worksheets/sheet9.xml" Id="Rf9332baf33f542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cd98ff61cc42ae" /><Relationship Type="http://schemas.openxmlformats.org/officeDocument/2006/relationships/chart" Target="/xl/drawings/charts/chart2.xml" Id="R11b4643883714041" /><Relationship Type="http://schemas.openxmlformats.org/officeDocument/2006/relationships/chart" Target="/xl/drawings/charts/chart3.xml" Id="R07bf43a4b88e4f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Five-Year Revenue Scenarios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Downside</c:v>
          </c:tx>
          <c:marker>
            <c:symbol val="none"/>
          </c:marker>
          <c:cat>
            <c:strRef>
              <c:f>'Dashboard'!$B$8:$F$8</c:f>
              <c:strCache>
                <c:ptCount val="0"/>
              </c:strCache>
            </c:strRef>
          </c:cat>
          <c:val>
            <c:numRef>
              <c:f>'Dashboard'!$B$9:$F$9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marker>
            <c:symbol val="none"/>
          </c:marker>
          <c:cat>
            <c:strRef>
              <c:f>'Dashboard'!$B$8:$F$8</c:f>
              <c:strCache>
                <c:ptCount val="0"/>
              </c:strCache>
            </c:strRef>
          </c:cat>
          <c:val>
            <c:numRef>
              <c:f>'Dashboard'!$B$10:$F$10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Upside</c:v>
          </c:tx>
          <c:marker>
            <c:symbol val="none"/>
          </c:marker>
          <c:cat>
            <c:strRef>
              <c:f>'Dashboard'!$B$8:$F$8</c:f>
              <c:strCache>
                <c:ptCount val="0"/>
              </c:strCache>
            </c:strRef>
          </c:cat>
          <c:val>
            <c:numRef>
              <c:f>'Dashboard'!$B$11:$F$11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,&quot;B&quot;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Patient Funnel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Patients</c:v>
          </c:tx>
          <c:cat>
            <c:strRef>
              <c:f>'Dashboard'!$A$15:$A$20</c:f>
              <c:strCache>
                <c:ptCount val="0"/>
              </c:strCache>
            </c:strRef>
          </c:cat>
          <c:val>
            <c:numRef>
              <c:f>'Dashboard'!$B$15:$B$20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,,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Market Share × Net Price Sensitivity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8% share</c:v>
          </c:tx>
          <c:marker>
            <c:symbol val="none"/>
          </c:marker>
          <c:cat>
            <c:strRef>
              <c:f>'Sensitivity'!$B$9:$D$9</c:f>
              <c:strCache>
                <c:ptCount val="0"/>
              </c:strCache>
            </c:strRef>
          </c:cat>
          <c:val>
            <c:numRef>
              <c:f>'Sensitivity'!$B$10:$D$10</c:f>
              <c:numCache>
                <c:formatCode>$0.0,,,"B"</c:formatCode>
                <c:ptCount val="0"/>
              </c:numCache>
            </c:numRef>
          </c:val>
        </c:ser>
        <c:ser>
          <c:idx val="1"/>
          <c:order val="1"/>
          <c:tx>
            <c:v>12% share</c:v>
          </c:tx>
          <c:marker>
            <c:symbol val="none"/>
          </c:marker>
          <c:cat>
            <c:strRef>
              <c:f>'Sensitivity'!$B$9:$D$9</c:f>
              <c:strCache>
                <c:ptCount val="0"/>
              </c:strCache>
            </c:strRef>
          </c:cat>
          <c:val>
            <c:numRef>
              <c:f>'Sensitivity'!$B$11:$D$11</c:f>
              <c:numCache>
                <c:formatCode>$0.0,,,"B"</c:formatCode>
                <c:ptCount val="0"/>
              </c:numCache>
            </c:numRef>
          </c:val>
        </c:ser>
        <c:ser>
          <c:idx val="2"/>
          <c:order val="2"/>
          <c:tx>
            <c:v>16% share</c:v>
          </c:tx>
          <c:marker>
            <c:symbol val="none"/>
          </c:marker>
          <c:cat>
            <c:strRef>
              <c:f>'Sensitivity'!$B$9:$D$9</c:f>
              <c:strCache>
                <c:ptCount val="0"/>
              </c:strCache>
            </c:strRef>
          </c:cat>
          <c:val>
            <c:numRef>
              <c:f>'Sensitivity'!$B$12:$D$12</c:f>
              <c:numCache>
                <c:formatCode>$0.0,,,"B"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,&quot;B&quot;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cd98ff61cc42ae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b4643883714041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bf43a4b88e4f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a3521777a894be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28" t="str">
        <x:v>Pharma Market Sizing &amp; Drug Launch Strategy</x:v>
      </x:c>
      <x:c r="B1" s="28"/>
      <x:c r="C1" s="28"/>
      <x:c r="D1" s="28"/>
      <x:c r="E1" s="28"/>
      <x:c r="F1" s="28"/>
    </x:row>
    <x:row r="2">
      <x:c r="A2" s="80"/>
      <x:c r="B2" s="80"/>
      <x:c r="C2" s="80"/>
      <x:c r="D2" s="80"/>
      <x:c r="E2" s="80"/>
      <x:c r="F2" s="80"/>
    </x:row>
    <x:row r="3">
      <x:c r="A3" s="81" t="str">
        <x:v>Project</x:v>
      </x:c>
      <x:c r="B3" s="80" t="str">
        <x:v>Portfolio case study for life sciences consulting and healthcare analytics</x:v>
      </x:c>
      <x:c r="C3" s="80"/>
      <x:c r="D3" s="80"/>
      <x:c r="E3" s="80"/>
      <x:c r="F3" s="80"/>
    </x:row>
    <x:row r="4">
      <x:c r="A4" s="81" t="str">
        <x:v>Fictional client</x:v>
      </x:c>
      <x:c r="B4" s="80" t="str">
        <x:v>Calystren Therapeutics</x:v>
      </x:c>
      <x:c r="C4" s="80"/>
      <x:c r="D4" s="80"/>
      <x:c r="E4" s="80"/>
      <x:c r="F4" s="80"/>
    </x:row>
    <x:row r="5">
      <x:c r="A5" s="81" t="str">
        <x:v>Fictional product</x:v>
      </x:c>
      <x:c r="B5" s="80" t="str">
        <x:v>Project CYR-217</x:v>
      </x:c>
      <x:c r="C5" s="80"/>
      <x:c r="D5" s="80"/>
      <x:c r="E5" s="80"/>
      <x:c r="F5" s="80"/>
    </x:row>
    <x:row r="6">
      <x:c r="A6" s="81" t="str">
        <x:v>Framing</x:v>
      </x:c>
      <x:c r="B6" s="80" t="str">
        <x:v>Hypothetical post-approval commercial launch</x:v>
      </x:c>
      <x:c r="C6" s="80"/>
      <x:c r="D6" s="80"/>
      <x:c r="E6" s="80"/>
      <x:c r="F6" s="80"/>
    </x:row>
    <x:row r="7">
      <x:c r="A7" s="81" t="str">
        <x:v>Model</x:v>
      </x:c>
      <x:c r="B7" s="80" t="str">
        <x:v>Public evidence + explicit analyst assumptions</x:v>
      </x:c>
      <x:c r="C7" s="80"/>
      <x:c r="D7" s="80"/>
      <x:c r="E7" s="80"/>
      <x:c r="F7" s="80"/>
    </x:row>
    <x:row r="8">
      <x:c r="A8" s="81" t="str">
        <x:v>Core tools</x:v>
      </x:c>
      <x:c r="B8" s="80" t="str">
        <x:v>MySQL + Excel</x:v>
      </x:c>
      <x:c r="C8" s="80"/>
      <x:c r="D8" s="80"/>
      <x:c r="E8" s="80"/>
      <x:c r="F8" s="80"/>
    </x:row>
    <x:row r="9">
      <x:c r="A9" s="81" t="str">
        <x:v>Revenue logic</x:v>
      </x:c>
      <x:c r="B9" s="80" t="str">
        <x:v>Addressable pool × market share × net price</x:v>
      </x:c>
      <x:c r="C9" s="80"/>
      <x:c r="D9" s="80"/>
      <x:c r="E9" s="80"/>
      <x:c r="F9" s="80"/>
    </x:row>
    <x:row r="10">
      <x:c r="A10" s="81" t="str">
        <x:v>Key distinction</x:v>
      </x:c>
      <x:c r="B10" s="80" t="str">
        <x:v>Clinical eligibility is separate from commercial access</x:v>
      </x:c>
      <x:c r="C10" s="80"/>
      <x:c r="D10" s="80"/>
      <x:c r="E10" s="80"/>
      <x:c r="F10" s="80"/>
    </x:row>
    <x:row r="11">
      <x:c r="A11" s="81" t="str">
        <x:v>Recommendation</x:v>
      </x:c>
      <x:c r="B11" s="80" t="str">
        <x:v>Advance to the next stage of commercial validation</x:v>
      </x:c>
      <x:c r="C11" s="80"/>
      <x:c r="D11" s="80"/>
      <x:c r="E11" s="80"/>
      <x:c r="F11" s="80"/>
    </x:row>
    <x:row r="12">
      <x:c r="A12" s="81" t="str">
        <x:v>Important</x:v>
      </x:c>
      <x:c r="B12" s="80" t="str">
        <x:v>This is an illustrative model, not a claims-based or clinical forecast</x:v>
      </x:c>
      <x:c r="C12" s="80"/>
      <x:c r="D12" s="80"/>
      <x:c r="E12" s="80"/>
      <x:c r="F12" s="80"/>
    </x:row>
    <x:row r="13">
      <x:c r="A13" s="80"/>
      <x:c r="B13" s="80"/>
      <x:c r="C13" s="80"/>
      <x:c r="D13" s="80"/>
      <x:c r="E13" s="80"/>
      <x:c r="F13" s="80"/>
    </x:row>
    <x:row r="14">
      <x:c r="A14" s="22" t="str">
        <x:v>How to use this workbook</x:v>
      </x:c>
      <x:c r="B14" s="22" t="str"/>
      <x:c r="C14" s="22" t="str"/>
      <x:c r="D14" s="22" t="str"/>
      <x:c r="E14" s="22" t="str"/>
      <x:c r="F14" s="22" t="str"/>
    </x:row>
    <x:row r="15">
      <x:c r="A15" s="81" t="str">
        <x:v>1</x:v>
      </x:c>
      <x:c r="B15" s="80" t="str">
        <x:v>Review Assumptions for facts vs assumptions</x:v>
      </x:c>
      <x:c r="C15" s="80" t="str"/>
      <x:c r="D15" s="80" t="str"/>
      <x:c r="E15" s="80" t="str"/>
      <x:c r="F15" s="80" t="str"/>
    </x:row>
    <x:row r="16">
      <x:c r="A16" s="81" t="str">
        <x:v>2</x:v>
      </x:c>
      <x:c r="B16" s="80" t="str">
        <x:v>Patient Funnel shows formula-driven population narrowing</x:v>
      </x:c>
      <x:c r="C16" s="80" t="str"/>
      <x:c r="D16" s="80" t="str"/>
      <x:c r="E16" s="80" t="str"/>
      <x:c r="F16" s="80" t="str"/>
    </x:row>
    <x:row r="17">
      <x:c r="A17" s="81" t="str">
        <x:v>3</x:v>
      </x:c>
      <x:c r="B17" s="80" t="str">
        <x:v>Revenue Model and Scenarios show five-year modeled sales</x:v>
      </x:c>
      <x:c r="C17" s="80" t="str"/>
      <x:c r="D17" s="80" t="str"/>
      <x:c r="E17" s="80" t="str"/>
      <x:c r="F17" s="80" t="str"/>
    </x:row>
    <x:row r="18">
      <x:c r="A18" s="81" t="str">
        <x:v>4</x:v>
      </x:c>
      <x:c r="B18" s="80" t="str">
        <x:v>Sensitivity shows revenue spread across selected ranges</x:v>
      </x:c>
      <x:c r="C18" s="80" t="str"/>
      <x:c r="D18" s="80" t="str"/>
      <x:c r="E18" s="80" t="str"/>
      <x:c r="F18" s="80" t="str"/>
    </x:row>
    <x:row r="19">
      <x:c r="A19" s="81" t="str">
        <x:v>5</x:v>
      </x:c>
      <x:c r="B19" s="80" t="str">
        <x:v>Dashboard summarizes validated outputs only</x:v>
      </x:c>
      <x:c r="C19" s="80" t="str"/>
      <x:c r="D19" s="80" t="str"/>
      <x:c r="E19" s="80" t="str"/>
      <x:c r="F19" s="80" t="str"/>
    </x:row>
    <x:row r="20">
      <x:c r="A20" s="81" t="str">
        <x:v>Source detail</x:v>
      </x:c>
      <x:c r="B20" s="80" t="str">
        <x:v>See data/source_registry.csv and docs/sources.md</x:v>
      </x:c>
      <x:c r="C20" s="80" t="str"/>
      <x:c r="D20" s="80" t="str"/>
      <x:c r="E20" s="80" t="str"/>
      <x:c r="F20" s="80" t="str"/>
    </x:row>
    <x:row r="21">
      <x:c r="A21" s="80"/>
      <x:c r="B21" s="80"/>
      <x:c r="C21" s="80"/>
      <x:c r="D21" s="80"/>
      <x:c r="E21" s="80"/>
      <x:c r="F21" s="80"/>
    </x:row>
    <x:row r="22">
      <x:c r="A22" s="80"/>
      <x:c r="B22" s="80"/>
      <x:c r="C22" s="80"/>
      <x:c r="D22" s="80"/>
      <x:c r="E22" s="80"/>
      <x:c r="F22" s="8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6" hidden="0" customWidth="1"/>
    <x:col min="4" max="4" width="20" hidden="0" customWidth="1"/>
    <x:col min="5" max="5" width="18" hidden="0" customWidth="1"/>
    <x:col min="6" max="6" width="24" hidden="0" customWidth="1"/>
    <x:col min="7" max="7" width="42" hidden="0" customWidth="1"/>
    <x:col min="8" max="8" width="16" hidden="0" customWidth="1"/>
  </x:cols>
  <x:sheetData>
    <x:row r="1" ht="28" customHeight="1">
      <x:c r="A1" s="148" t="str">
        <x:v>Model Assumptions</x:v>
      </x:c>
      <x:c r="B1" s="148"/>
      <x:c r="C1" s="148"/>
      <x:c r="D1" s="148"/>
      <x:c r="E1" s="148"/>
      <x:c r="F1" s="148"/>
      <x:c r="G1" s="148"/>
      <x:c r="H1" s="151"/>
    </x:row>
    <x:row r="2">
      <x:c r="A2" s="80"/>
      <x:c r="B2" s="80"/>
      <x:c r="C2" s="80"/>
      <x:c r="D2" s="80"/>
      <x:c r="E2" s="80"/>
      <x:c r="F2" s="80"/>
      <x:c r="G2" s="80"/>
      <x:c r="H2"/>
    </x:row>
    <x:row r="3">
      <x:c r="A3" s="22" t="str">
        <x:v>ID</x:v>
      </x:c>
      <x:c r="B3" s="22" t="str">
        <x:v>Assumption</x:v>
      </x:c>
      <x:c r="C3" s="22" t="str">
        <x:v>Value</x:v>
      </x:c>
      <x:c r="D3" s="22" t="str">
        <x:v>Unit</x:v>
      </x:c>
      <x:c r="E3" s="22" t="str">
        <x:v>Category</x:v>
      </x:c>
      <x:c r="F3" s="22" t="str">
        <x:v>Source Type</x:v>
      </x:c>
      <x:c r="G3" s="22" t="str">
        <x:v>Source / Rationale</x:v>
      </x:c>
      <x:c r="H3" s="155" t="str">
        <x:v>Model Role</x:v>
      </x:c>
    </x:row>
    <x:row r="4">
      <x:c r="A4" s="80" t="str">
        <x:v>adult_population</x:v>
      </x:c>
      <x:c r="B4" s="80" t="str">
        <x:v>US adult resident population age 18+</x:v>
      </x:c>
      <x:c r="C4" s="100" t="n">
        <x:v>262083034</x:v>
      </x:c>
      <x:c r="D4" s="80" t="str">
        <x:v>people</x:v>
      </x:c>
      <x:c r="E4" s="80" t="str">
        <x:v>Epidemiology</x:v>
      </x:c>
      <x:c r="F4" s="80" t="str">
        <x:v>PUBLIC FACT</x:v>
      </x:c>
      <x:c r="G4" s="80" t="str">
        <x:v>Census SCPRC-EST2023-18+POP</x:v>
      </x:c>
      <x:c r="H4" s="156" t="str">
        <x:v>INPUT</x:v>
      </x:c>
    </x:row>
    <x:row r="5">
      <x:c r="A5" s="80" t="str">
        <x:v>prevalence_proxy</x:v>
      </x:c>
      <x:c r="B5" s="80" t="str">
        <x:v>Broad migraine/severe-headache prevalence proxy</x:v>
      </x:c>
      <x:c r="C5" s="85" t="n">
        <x:v>0.153</x:v>
      </x:c>
      <x:c r="D5" s="80" t="str">
        <x:v>fraction</x:v>
      </x:c>
      <x:c r="E5" s="80" t="str">
        <x:v>Epidemiology</x:v>
      </x:c>
      <x:c r="F5" s="80" t="str">
        <x:v>PUBLIC FACT</x:v>
      </x:c>
      <x:c r="G5" s="80" t="str">
        <x:v>Burch et al. PMID 29527677</x:v>
      </x:c>
      <x:c r="H5" s="156" t="str">
        <x:v>INPUT</x:v>
      </x:c>
    </x:row>
    <x:row r="6">
      <x:c r="A6" s="80" t="str">
        <x:v>diagnosis_rate</x:v>
      </x:c>
      <x:c r="B6" s="80" t="str">
        <x:v>Migraine ever medically diagnosed</x:v>
      </x:c>
      <x:c r="C6" s="85" t="n">
        <x:v>0.562</x:v>
      </x:c>
      <x:c r="D6" s="80" t="str">
        <x:v>fraction</x:v>
      </x:c>
      <x:c r="E6" s="80" t="str">
        <x:v>Funnel</x:v>
      </x:c>
      <x:c r="F6" s="80" t="str">
        <x:v>PUBLIC FACT</x:v>
      </x:c>
      <x:c r="G6" s="80" t="str">
        <x:v>AMPP PMID 17371352</x:v>
      </x:c>
      <x:c r="H6" s="156" t="str">
        <x:v>INPUT</x:v>
      </x:c>
    </x:row>
    <x:row r="7">
      <x:c r="A7" s="80" t="str">
        <x:v>treatment_engagement</x:v>
      </x:c>
      <x:c r="B7" s="80" t="str">
        <x:v>Modeled prescription-treatment engagement</x:v>
      </x:c>
      <x:c r="C7" s="85" t="n">
        <x:v>0.32</x:v>
      </x:c>
      <x:c r="D7" s="80" t="str">
        <x:v>fraction</x:v>
      </x:c>
      <x:c r="E7" s="80" t="str">
        <x:v>Funnel</x:v>
      </x:c>
      <x:c r="F7" s="80" t="str">
        <x:v>ANALYST ASSUMPTION</x:v>
      </x:c>
      <x:c r="G7" s="80" t="str">
        <x:v>Illustrative; not a direct sequential rate</x:v>
      </x:c>
      <x:c r="H7" s="156" t="str">
        <x:v>INPUT</x:v>
      </x:c>
    </x:row>
    <x:row r="8">
      <x:c r="A8" s="80" t="str">
        <x:v>preventive_candidate_rate</x:v>
      </x:c>
      <x:c r="B8" s="80" t="str">
        <x:v>Preventive-treatment candidate rate</x:v>
      </x:c>
      <x:c r="C8" s="85" t="n">
        <x:v>0.4</x:v>
      </x:c>
      <x:c r="D8" s="80" t="str">
        <x:v>fraction</x:v>
      </x:c>
      <x:c r="E8" s="80" t="str">
        <x:v>Funnel</x:v>
      </x:c>
      <x:c r="F8" s="80" t="str">
        <x:v>PUBLIC FACT</x:v>
      </x:c>
      <x:c r="G8" s="80" t="str">
        <x:v>AHS states preventive therapy is indicated in approximately 40% of patients with migraine; the model applies this as a simplified sequential funnel input.</x:v>
      </x:c>
      <x:c r="H8" s="156" t="str">
        <x:v>INPUT</x:v>
      </x:c>
    </x:row>
    <x:row r="9">
      <x:c r="A9" s="80" t="str">
        <x:v>commercial_access_factor</x:v>
      </x:c>
      <x:c r="B9" s="80" t="str">
        <x:v>Illustrative Commercial Access Factor</x:v>
      </x:c>
      <x:c r="C9" s="85" t="n">
        <x:v>0.4</x:v>
      </x:c>
      <x:c r="D9" s="80" t="str">
        <x:v>fraction</x:v>
      </x:c>
      <x:c r="E9" s="80" t="str">
        <x:v>Access</x:v>
      </x:c>
      <x:c r="F9" s="80" t="str">
        <x:v>ANALYST ASSUMPTION</x:v>
      </x:c>
      <x:c r="G9" s="80" t="str">
        <x:v>Hypothetical portion of the modeled preventive-treatment pool assumed commercially reachable by a new branded product; not clinical eligibility or a universal payer rule.</x:v>
      </x:c>
      <x:c r="H9" s="156" t="str">
        <x:v>INPUT</x:v>
      </x:c>
    </x:row>
    <x:row r="10">
      <x:c r="A10" s="80" t="str">
        <x:v>wac</x:v>
      </x:c>
      <x:c r="B10" s="80" t="str">
        <x:v>Illustrative WAC</x:v>
      </x:c>
      <x:c r="C10" s="86" t="n">
        <x:v>12500</x:v>
      </x:c>
      <x:c r="D10" s="80" t="str">
        <x:v>USD/patient-year</x:v>
      </x:c>
      <x:c r="E10" s="80" t="str">
        <x:v>Pricing</x:v>
      </x:c>
      <x:c r="F10" s="80" t="str">
        <x:v>HYPOTHETICAL CLIENT INPUT</x:v>
      </x:c>
      <x:c r="G10" s="80" t="str">
        <x:v>Fictional post-approval launch assumption</x:v>
      </x:c>
      <x:c r="H10" s="156" t="str">
        <x:v>INPUT</x:v>
      </x:c>
    </x:row>
    <x:row r="11">
      <x:c r="A11" s="80" t="str">
        <x:v>gtn</x:v>
      </x:c>
      <x:c r="B11" s="80" t="str">
        <x:v>Illustrative GTN deduction</x:v>
      </x:c>
      <x:c r="C11" s="85" t="n">
        <x:v>0.4</x:v>
      </x:c>
      <x:c r="D11" s="80" t="str">
        <x:v>fraction</x:v>
      </x:c>
      <x:c r="E11" s="80" t="str">
        <x:v>Pricing</x:v>
      </x:c>
      <x:c r="F11" s="80" t="str">
        <x:v>ANALYST ASSUMPTION</x:v>
      </x:c>
      <x:c r="G11" s="80" t="str">
        <x:v>Round simplifying assumption</x:v>
      </x:c>
      <x:c r="H11" s="156" t="str">
        <x:v>INPUT</x:v>
      </x:c>
    </x:row>
    <x:row r="12">
      <x:c r="A12" s="80" t="str">
        <x:v>base_net_price</x:v>
      </x:c>
      <x:c r="B12" s="80" t="str">
        <x:v>Base net price</x:v>
      </x:c>
      <x:c r="C12" s="86" t="n">
        <x:f>C10*(1-C11)</x:f>
        <x:v>7500</x:v>
      </x:c>
      <x:c r="D12" s="80" t="str">
        <x:v>USD/patient-year</x:v>
      </x:c>
      <x:c r="E12" s="80" t="str">
        <x:v>Pricing</x:v>
      </x:c>
      <x:c r="F12" s="80" t="str"/>
      <x:c r="G12" s="80" t="str">
        <x:v>WAC × (1 - GTN)</x:v>
      </x:c>
      <x:c r="H12" s="156" t="str">
        <x:v>DERIVED OUTPUT</x:v>
      </x:c>
    </x:row>
    <x:row r="13">
      <x:c r="A13" s="80" t="str">
        <x:v>base_share_y5</x:v>
      </x:c>
      <x:c r="B13" s="80" t="str">
        <x:v>Base Year 5 market share</x:v>
      </x:c>
      <x:c r="C13" s="85" t="n">
        <x:v>0.12</x:v>
      </x:c>
      <x:c r="D13" s="80" t="str">
        <x:v>fraction</x:v>
      </x:c>
      <x:c r="E13" s="80" t="str">
        <x:v>Adoption</x:v>
      </x:c>
      <x:c r="F13" s="80" t="str">
        <x:v>ANALYST ASSUMPTION</x:v>
      </x:c>
      <x:c r="G13" s="80" t="str">
        <x:v>Illustrative base-case share</x:v>
      </x:c>
      <x:c r="H13" s="156" t="str">
        <x:v>INPUT</x:v>
      </x:c>
    </x:row>
    <x:row r="14">
      <x:c r="A14" s="80" t="str">
        <x:v>share_low</x:v>
      </x:c>
      <x:c r="B14" s="80" t="str">
        <x:v>Sensitivity share low</x:v>
      </x:c>
      <x:c r="C14" s="85" t="n">
        <x:v>0.08</x:v>
      </x:c>
      <x:c r="D14" s="80" t="str">
        <x:v>fraction</x:v>
      </x:c>
      <x:c r="E14" s="80" t="str">
        <x:v>Sensitivity</x:v>
      </x:c>
      <x:c r="F14" s="80" t="str">
        <x:v>ANALYST ASSUMPTION</x:v>
      </x:c>
      <x:c r="G14" s="80" t="str">
        <x:v>Selected range</x:v>
      </x:c>
      <x:c r="H14" s="156" t="str">
        <x:v>INPUT</x:v>
      </x:c>
    </x:row>
    <x:row r="15">
      <x:c r="A15" s="80" t="str">
        <x:v>share_high</x:v>
      </x:c>
      <x:c r="B15" s="80" t="str">
        <x:v>Sensitivity share high</x:v>
      </x:c>
      <x:c r="C15" s="85" t="n">
        <x:v>0.16</x:v>
      </x:c>
      <x:c r="D15" s="80" t="str">
        <x:v>fraction</x:v>
      </x:c>
      <x:c r="E15" s="80" t="str">
        <x:v>Sensitivity</x:v>
      </x:c>
      <x:c r="F15" s="80" t="str">
        <x:v>ANALYST ASSUMPTION</x:v>
      </x:c>
      <x:c r="G15" s="80" t="str">
        <x:v>Selected range</x:v>
      </x:c>
      <x:c r="H15" s="156" t="str">
        <x:v>INPUT</x:v>
      </x:c>
    </x:row>
    <x:row r="16">
      <x:c r="A16" s="80" t="str">
        <x:v>sensitivity_price_low_factor</x:v>
      </x:c>
      <x:c r="B16" s="80" t="str">
        <x:v>Sensitivity net price factor low</x:v>
      </x:c>
      <x:c r="C16" s="145" t="n">
        <x:v>0.8</x:v>
      </x:c>
      <x:c r="D16" s="80" t="str">
        <x:v>multiple</x:v>
      </x:c>
      <x:c r="E16" s="80" t="str">
        <x:v>Sensitivity</x:v>
      </x:c>
      <x:c r="F16" s="80" t="str">
        <x:v>ANALYST ASSUMPTION</x:v>
      </x:c>
      <x:c r="G16" s="80" t="str">
        <x:v>80% of the base net price</x:v>
      </x:c>
      <x:c r="H16" s="156" t="str">
        <x:v>INPUT</x:v>
      </x:c>
    </x:row>
    <x:row r="17">
      <x:c r="A17" s="80" t="str">
        <x:v>sensitivity_price_high_factor</x:v>
      </x:c>
      <x:c r="B17" s="80" t="str">
        <x:v>Sensitivity net price factor high</x:v>
      </x:c>
      <x:c r="C17" s="145" t="n">
        <x:v>1.2</x:v>
      </x:c>
      <x:c r="D17" s="80" t="str">
        <x:v>multiple</x:v>
      </x:c>
      <x:c r="E17" s="80" t="str">
        <x:v>Sensitivity</x:v>
      </x:c>
      <x:c r="F17" s="80" t="str">
        <x:v>ANALYST ASSUMPTION</x:v>
      </x:c>
      <x:c r="G17" s="80" t="str">
        <x:v>120% of the base net price</x:v>
      </x:c>
      <x:c r="H17" s="156" t="str">
        <x:v>INPUT</x:v>
      </x:c>
    </x:row>
    <x:row r="18">
      <x:c r="A18" s="80" t="str">
        <x:v>pool_low_factor</x:v>
      </x:c>
      <x:c r="B18" s="80" t="str">
        <x:v>Sensitivity pool factor low</x:v>
      </x:c>
      <x:c r="C18" s="85" t="n">
        <x:v>0.8</x:v>
      </x:c>
      <x:c r="D18" s="80" t="str">
        <x:v>multiple</x:v>
      </x:c>
      <x:c r="E18" s="80" t="str">
        <x:v>Sensitivity</x:v>
      </x:c>
      <x:c r="F18" s="80" t="str">
        <x:v>ANALYST ASSUMPTION</x:v>
      </x:c>
      <x:c r="G18" s="80" t="str">
        <x:v>0.8x of base addressable pool</x:v>
      </x:c>
      <x:c r="H18" s="156" t="str">
        <x:v>INPUT</x:v>
      </x:c>
    </x:row>
    <x:row r="19">
      <x:c r="A19" s="80" t="str">
        <x:v>pool_high_factor</x:v>
      </x:c>
      <x:c r="B19" s="80" t="str">
        <x:v>Sensitivity pool factor high</x:v>
      </x:c>
      <x:c r="C19" s="85" t="n">
        <x:v>1.2</x:v>
      </x:c>
      <x:c r="D19" s="80" t="str">
        <x:v>multiple</x:v>
      </x:c>
      <x:c r="E19" s="80" t="str">
        <x:v>Sensitivity</x:v>
      </x:c>
      <x:c r="F19" s="80" t="str">
        <x:v>ANALYST ASSUMPTION</x:v>
      </x:c>
      <x:c r="G19" s="80" t="str">
        <x:v>1.2x of base addressable pool</x:v>
      </x:c>
      <x:c r="H19" s="156" t="str">
        <x:v>INPUT</x:v>
      </x:c>
    </x:row>
    <x:row r="20">
      <x:c r="A20" s="80"/>
      <x:c r="B20" s="80"/>
      <x:c r="C20" s="80"/>
      <x:c r="D20" s="80"/>
      <x:c r="E20" s="80"/>
      <x:c r="F20" s="80"/>
      <x:c r="G20" s="80"/>
      <x:c r="H20"/>
    </x:row>
    <x:row r="21">
      <x:c r="A21" s="81" t="str">
        <x:v>Convention</x:v>
      </x:c>
      <x:c r="B21" s="80" t="str">
        <x:v>Percentages are stored internally as decimal fractions (0.562 = 56.2%).</x:v>
      </x:c>
      <x:c r="C21" s="80" t="str"/>
      <x:c r="D21" s="80" t="str"/>
      <x:c r="E21" s="80" t="str"/>
      <x:c r="F21" s="80" t="str"/>
      <x:c r="G21" s="80" t="str"/>
      <x:c r="H21" t="str"/>
    </x:row>
    <x:row r="22">
      <x:c r="A22" s="81" t="str">
        <x:v>Model governance</x:v>
      </x:c>
      <x:c r="B22" s="80" t="str">
        <x:v>Public facts, analyst assumptions, and hypothetical client inputs are explicitly labeled.</x:v>
      </x:c>
      <x:c r="C22" s="80" t="str"/>
      <x:c r="D22" s="80" t="str"/>
      <x:c r="E22" s="80" t="str"/>
      <x:c r="F22" s="80" t="str"/>
      <x:c r="G22" s="80" t="str"/>
      <x:c r="H22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40" hidden="0" customWidth="1"/>
    <x:col min="7" max="7" width="42" hidden="0" customWidth="1"/>
  </x:cols>
  <x:sheetData>
    <x:row r="1" ht="28" customHeight="1">
      <x:c r="A1" s="28" t="str">
        <x:v>Patient Funnel</x:v>
      </x:c>
      <x:c r="B1" s="28"/>
      <x:c r="C1" s="28"/>
      <x:c r="D1" s="28"/>
      <x:c r="E1" s="28"/>
      <x:c r="F1" s="28"/>
      <x:c r="G1" s="28"/>
    </x:row>
    <x:row r="2">
      <x:c r="A2" s="80"/>
      <x:c r="B2" s="80"/>
      <x:c r="C2" s="80"/>
      <x:c r="D2" s="80"/>
      <x:c r="E2" s="80"/>
      <x:c r="F2" s="80"/>
      <x:c r="G2" s="80"/>
    </x:row>
    <x:row r="3">
      <x:c r="A3" s="22" t="str">
        <x:v>Stage</x:v>
      </x:c>
      <x:c r="B3" s="22" t="str">
        <x:v>Population</x:v>
      </x:c>
      <x:c r="C3" s="22" t="str">
        <x:v>Conversion Rate</x:v>
      </x:c>
      <x:c r="D3" s="22" t="str">
        <x:v>Share of Adults</x:v>
      </x:c>
      <x:c r="E3" s="22" t="str">
        <x:v>Type</x:v>
      </x:c>
      <x:c r="F3" s="22" t="str">
        <x:v>Input / Formula</x:v>
      </x:c>
      <x:c r="G3" s="22" t="str">
        <x:v>Interpretation</x:v>
      </x:c>
    </x:row>
    <x:row r="4">
      <x:c r="A4" s="80" t="str">
        <x:v>US adult population</x:v>
      </x:c>
      <x:c r="B4" s="100" t="n">
        <x:f>Assumptions!C4</x:f>
        <x:v>262083034</x:v>
      </x:c>
      <x:c r="C4" s="85" t="n">
        <x:f>1</x:f>
        <x:v>1</x:v>
      </x:c>
      <x:c r="D4" s="85" t="n">
        <x:f>1</x:f>
        <x:v>1</x:v>
      </x:c>
      <x:c r="E4" s="80" t="str">
        <x:v>PUBLIC FACT</x:v>
      </x:c>
      <x:c r="F4" s="80" t="n">
        <x:f>Assumptions!C4</x:f>
        <x:v>262083034</x:v>
      </x:c>
      <x:c r="G4" s="80" t="str">
        <x:v>2023 resident population age 18+</x:v>
      </x:c>
    </x:row>
    <x:row r="5">
      <x:c r="A5" s="80" t="str">
        <x:v>Broad migraine/severe-headache population</x:v>
      </x:c>
      <x:c r="B5" s="100" t="n">
        <x:f>B4*Assumptions!C5</x:f>
        <x:v>40098704.202</x:v>
      </x:c>
      <x:c r="C5" s="85" t="n">
        <x:f>Assumptions!C5</x:f>
        <x:v>0.153</x:v>
      </x:c>
      <x:c r="D5" s="85" t="n">
        <x:f>B5/$B$4</x:f>
        <x:v>0.153</x:v>
      </x:c>
      <x:c r="E5" s="80" t="str">
        <x:v>PUBLIC FACT / PROXY</x:v>
      </x:c>
      <x:c r="F5" s="80" t="str">
        <x:v>Adult population × prevalence</x:v>
      </x:c>
      <x:c r="G5" s="80" t="str">
        <x:v>Historical broad proxy</x:v>
      </x:c>
    </x:row>
    <x:row r="6">
      <x:c r="A6" s="80" t="str">
        <x:v>Diagnosed population</x:v>
      </x:c>
      <x:c r="B6" s="100" t="n">
        <x:f>B5*Assumptions!C6</x:f>
        <x:v>22535471.761524003</x:v>
      </x:c>
      <x:c r="C6" s="85" t="n">
        <x:f>Assumptions!C6</x:f>
        <x:v>0.562</x:v>
      </x:c>
      <x:c r="D6" s="85" t="n">
        <x:f>B6/$B$4</x:f>
        <x:v>0.085986</x:v>
      </x:c>
      <x:c r="E6" s="80" t="str">
        <x:v>PUBLIC FACT</x:v>
      </x:c>
      <x:c r="F6" s="80" t="str">
        <x:v>Disease population × diagnosis rate</x:v>
      </x:c>
      <x:c r="G6" s="80" t="str">
        <x:v>Ever medically diagnosed</x:v>
      </x:c>
    </x:row>
    <x:row r="7">
      <x:c r="A7" s="80" t="str">
        <x:v>Modeled treatment-engaged population</x:v>
      </x:c>
      <x:c r="B7" s="100" t="n">
        <x:f>B6*Assumptions!C7</x:f>
        <x:v>7211350.963687681</x:v>
      </x:c>
      <x:c r="C7" s="85" t="n">
        <x:f>Assumptions!C7</x:f>
        <x:v>0.32</x:v>
      </x:c>
      <x:c r="D7" s="85" t="n">
        <x:f>B7/$B$4</x:f>
        <x:v>0.02751552</x:v>
      </x:c>
      <x:c r="E7" s="80" t="str">
        <x:v>ANALYST ASSUMPTION</x:v>
      </x:c>
      <x:c r="F7" s="80" t="str">
        <x:v>Diagnosed × treatment engagement</x:v>
      </x:c>
      <x:c r="G7" s="80" t="str">
        <x:v>Illustrative commercial funnel gate</x:v>
      </x:c>
    </x:row>
    <x:row r="8">
      <x:c r="A8" s="80" t="str">
        <x:v>Preventive candidate pool</x:v>
      </x:c>
      <x:c r="B8" s="100" t="n">
        <x:f>B7*Assumptions!C8</x:f>
        <x:v>2884540.3854750725</x:v>
      </x:c>
      <x:c r="C8" s="85" t="n">
        <x:f>Assumptions!C8</x:f>
        <x:v>0.4</x:v>
      </x:c>
      <x:c r="D8" s="85" t="n">
        <x:f>B8/$B$4</x:f>
        <x:v>0.011006208000000002</x:v>
      </x:c>
      <x:c r="E8" s="80" t="str">
        <x:v>PUBLIC EVIDENCE / MODEL INPUT</x:v>
      </x:c>
      <x:c r="F8" s="80" t="str">
        <x:v>Treatment engaged × preventive rate</x:v>
      </x:c>
      <x:c r="G8" s="80" t="str">
        <x:v>Potentially relevant to prevention</x:v>
      </x:c>
    </x:row>
    <x:row r="9">
      <x:c r="A9" s="101" t="str">
        <x:v>Commercially addressable pool</x:v>
      </x:c>
      <x:c r="B9" s="102" t="n">
        <x:f>B8*Assumptions!C9</x:f>
        <x:v>1153816.154190029</x:v>
      </x:c>
      <x:c r="C9" s="103" t="n">
        <x:f>Assumptions!C9</x:f>
        <x:v>0.4</x:v>
      </x:c>
      <x:c r="D9" s="103" t="n">
        <x:f>B9/$B$4</x:f>
        <x:v>0.0044024832000000005</x:v>
      </x:c>
      <x:c r="E9" s="101" t="str">
        <x:v>ANALYST ASSUMPTION</x:v>
      </x:c>
      <x:c r="F9" s="101" t="str">
        <x:v>Preventive pool × access factor</x:v>
      </x:c>
      <x:c r="G9" s="101" t="str">
        <x:v>Commercial reach, not clinical eligibility</x:v>
      </x:c>
    </x:row>
    <x:row r="10">
      <x:c r="A10" s="80"/>
      <x:c r="B10" s="80"/>
      <x:c r="C10" s="80"/>
      <x:c r="D10" s="80"/>
      <x:c r="E10" s="80"/>
      <x:c r="F10" s="80"/>
      <x:c r="G10" s="80"/>
    </x:row>
    <x:row r="11">
      <x:c r="A11" s="22" t="str">
        <x:v>Important framing</x:v>
      </x:c>
      <x:c r="B11" s="22" t="str"/>
      <x:c r="C11" s="22" t="str"/>
      <x:c r="D11" s="22" t="str"/>
      <x:c r="E11" s="22" t="str"/>
      <x:c r="F11" s="22" t="str"/>
      <x:c r="G11" s="22" t="str"/>
    </x:row>
    <x:row r="12">
      <x:c r="A12" s="80" t="str">
        <x:v>The 15.3% input is a broad historical migraine/severe-headache proxy, not a product-specific diagnosed prevalence.</x:v>
      </x:c>
      <x:c r="B12" s="80" t="str"/>
      <x:c r="C12" s="80" t="str"/>
      <x:c r="D12" s="80" t="str"/>
      <x:c r="E12" s="80" t="str"/>
      <x:c r="F12" s="80" t="str"/>
      <x:c r="G12" s="80" t="str"/>
    </x:row>
    <x:row r="13">
      <x:c r="A13" s="80" t="str">
        <x:v>The 40% commercial access factor is hypothetical and separate from clinical eligibility.</x:v>
      </x:c>
      <x:c r="B13" s="80" t="str"/>
      <x:c r="C13" s="80" t="str"/>
      <x:c r="D13" s="80" t="str"/>
      <x:c r="E13" s="80" t="str"/>
      <x:c r="F13" s="80" t="str"/>
      <x:c r="G13" s="80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0" hidden="0" customWidth="1"/>
    <x:col min="5" max="5" width="24" hidden="0" customWidth="1"/>
    <x:col min="6" max="6" width="54" hidden="0" customWidth="1"/>
  </x:cols>
  <x:sheetData>
    <x:row r="1" ht="28" customHeight="1">
      <x:c r="A1" s="28" t="str">
        <x:v>Patient-Based Market Sizing</x:v>
      </x:c>
      <x:c r="B1" s="28"/>
      <x:c r="C1" s="28"/>
      <x:c r="D1" s="28"/>
      <x:c r="E1" s="28"/>
      <x:c r="F1" s="28"/>
    </x:row>
    <x:row r="2">
      <x:c r="A2" s="80"/>
      <x:c r="B2" s="80"/>
      <x:c r="C2" s="80"/>
      <x:c r="D2" s="80"/>
      <x:c r="E2" s="80"/>
      <x:c r="F2" s="80"/>
    </x:row>
    <x:row r="3">
      <x:c r="A3" s="22" t="str">
        <x:v>Metric</x:v>
      </x:c>
      <x:c r="B3" s="22" t="str">
        <x:v>Patients</x:v>
      </x:c>
      <x:c r="C3" s="22" t="str">
        <x:v>Share of Adults</x:v>
      </x:c>
      <x:c r="D3" s="22" t="str">
        <x:v>Modeled Net Price</x:v>
      </x:c>
      <x:c r="E3" s="22" t="str">
        <x:v>Theoretical Annual Value</x:v>
      </x:c>
      <x:c r="F3" s="22" t="str">
        <x:v>Meaning</x:v>
      </x:c>
    </x:row>
    <x:row r="4">
      <x:c r="A4" s="80" t="str">
        <x:v>Disease Population</x:v>
      </x:c>
      <x:c r="B4" s="100" t="n">
        <x:f>'Patient Funnel'!B5</x:f>
        <x:v>40098704.202</x:v>
      </x:c>
      <x:c r="C4" s="85" t="n">
        <x:f>B4/'Patient Funnel'!$B$4</x:f>
        <x:v>0.153</x:v>
      </x:c>
      <x:c r="D4" s="86" t="n">
        <x:f>Assumptions!C12</x:f>
        <x:v>7500</x:v>
      </x:c>
      <x:c r="E4" s="122" t="n">
        <x:f>B4*D4</x:f>
        <x:v>300740281515</x:v>
      </x:c>
      <x:c r="F4" s="80" t="str">
        <x:v>Broad epidemiological population proxy</x:v>
      </x:c>
    </x:row>
    <x:row r="5">
      <x:c r="A5" s="80" t="str">
        <x:v>Preventive Candidate Pool</x:v>
      </x:c>
      <x:c r="B5" s="100" t="n">
        <x:f>'Patient Funnel'!B8</x:f>
        <x:v>2884540.3854750725</x:v>
      </x:c>
      <x:c r="C5" s="85" t="n">
        <x:f>B5/'Patient Funnel'!$B$4</x:f>
        <x:v>0.011006208000000002</x:v>
      </x:c>
      <x:c r="D5" s="86" t="n">
        <x:f>Assumptions!C12</x:f>
        <x:v>7500</x:v>
      </x:c>
      <x:c r="E5" s="122" t="n">
        <x:f>B5*D5</x:f>
        <x:v>21634052891.063046</x:v>
      </x:c>
      <x:c r="F5" s="80" t="str">
        <x:v>Modeled population potentially relevant to prevention</x:v>
      </x:c>
    </x:row>
    <x:row r="6">
      <x:c r="A6" s="123" t="str">
        <x:v>Commercially Addressable Pool</x:v>
      </x:c>
      <x:c r="B6" s="124" t="n">
        <x:f>'Patient Funnel'!B9</x:f>
        <x:v>1153816.154190029</x:v>
      </x:c>
      <x:c r="C6" s="125" t="n">
        <x:f>B6/'Patient Funnel'!$B$4</x:f>
        <x:v>0.0044024832000000005</x:v>
      </x:c>
      <x:c r="D6" s="126" t="n">
        <x:f>Assumptions!C12</x:f>
        <x:v>7500</x:v>
      </x:c>
      <x:c r="E6" s="127" t="n">
        <x:f>B6*D6</x:f>
        <x:v>8653621156.425219</x:v>
      </x:c>
      <x:c r="F6" s="123" t="str">
        <x:v>Preventive candidates × illustrative access factor</x:v>
      </x:c>
    </x:row>
    <x:row r="7">
      <x:c r="A7" s="123" t="str">
        <x:v>Year 5 Modeled Product Patients</x:v>
      </x:c>
      <x:c r="B7" s="124" t="n">
        <x:f>B6*Assumptions!C13</x:f>
        <x:v>138457.93850280347</x:v>
      </x:c>
      <x:c r="C7" s="125" t="n">
        <x:f>B7/'Patient Funnel'!$B$4</x:f>
        <x:v>0.000528297984</x:v>
      </x:c>
      <x:c r="D7" s="126" t="n">
        <x:f>Assumptions!C12</x:f>
        <x:v>7500</x:v>
      </x:c>
      <x:c r="E7" s="127" t="n">
        <x:f>B7*D7</x:f>
        <x:v>1038434538.771026</x:v>
      </x:c>
      <x:c r="F7" s="123" t="str">
        <x:v>Addressable pool × Base Year 5 share</x:v>
      </x:c>
    </x:row>
    <x:row r="8">
      <x:c r="A8" s="80"/>
      <x:c r="B8" s="80"/>
      <x:c r="C8" s="80"/>
      <x:c r="D8" s="80"/>
      <x:c r="E8" s="80"/>
      <x:c r="F8" s="80"/>
    </x:row>
    <x:row r="9">
      <x:c r="A9" s="22" t="str">
        <x:v>Note</x:v>
      </x:c>
      <x:c r="B9" s="22" t="str"/>
      <x:c r="C9" s="22" t="str"/>
      <x:c r="D9" s="22" t="str"/>
      <x:c r="E9" s="22" t="str"/>
      <x:c r="F9" s="22" t="str"/>
    </x:row>
    <x:row r="10">
      <x:c r="A10" s="80" t="str">
        <x:v>Dollar values above are theoretical annual values at the modeled net price; they are not actual market revenue.</x:v>
      </x:c>
      <x:c r="B10" s="80" t="str"/>
      <x:c r="C10" s="80" t="str"/>
      <x:c r="D10" s="80" t="str"/>
      <x:c r="E10" s="80" t="str"/>
      <x:c r="F10" s="80" t="str"/>
    </x:row>
    <x:row r="11">
      <x:c r="A11" s="80" t="str">
        <x:v>Framework note: The model does not construct a separate serviceable-obtainable-market framework.</x:v>
      </x:c>
      <x:c r="B11" s="80" t="str"/>
      <x:c r="C11" s="80" t="str"/>
      <x:c r="D11" s="80" t="str"/>
      <x:c r="E11" s="80" t="str"/>
      <x:c r="F11" s="80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</x:cols>
  <x:sheetData>
    <x:row r="1" ht="28" customHeight="1">
      <x:c r="A1" s="28" t="str">
        <x:v>Five-Year Revenue Model</x:v>
      </x:c>
      <x:c r="B1" s="28"/>
      <x:c r="C1" s="28"/>
      <x:c r="D1" s="28"/>
      <x:c r="E1" s="28"/>
      <x:c r="F1" s="28"/>
      <x:c r="G1" s="28"/>
    </x:row>
    <x:row r="2">
      <x:c r="A2" s="80"/>
      <x:c r="B2" s="80"/>
      <x:c r="C2" s="80"/>
      <x:c r="D2" s="80"/>
      <x:c r="E2" s="80"/>
      <x:c r="F2" s="80"/>
      <x:c r="G2" s="80"/>
    </x:row>
    <x:row r="3">
      <x:c r="A3" s="22" t="str">
        <x:v>Scenario</x:v>
      </x:c>
      <x:c r="B3" s="22" t="str">
        <x:v>Year 1</x:v>
      </x:c>
      <x:c r="C3" s="22" t="str">
        <x:v>Year 2</x:v>
      </x:c>
      <x:c r="D3" s="22" t="str">
        <x:v>Year 3</x:v>
      </x:c>
      <x:c r="E3" s="22" t="str">
        <x:v>Year 4</x:v>
      </x:c>
      <x:c r="F3" s="22" t="str">
        <x:v>Year 5</x:v>
      </x:c>
      <x:c r="G3" s="22" t="str">
        <x:v>5-Year Cumulative</x:v>
      </x:c>
    </x:row>
    <x:row r="4">
      <x:c r="A4" s="80" t="str">
        <x:v>Downside</x:v>
      </x:c>
      <x:c r="B4" s="86" t="n">
        <x:f>Scenarios!G4</x:f>
        <x:v>51921726.9385513</x:v>
      </x:c>
      <x:c r="C4" s="86" t="n">
        <x:f>Scenarios!G5</x:f>
        <x:v>138457938.50280347</x:v>
      </x:c>
      <x:c r="D4" s="86" t="n">
        <x:f>Scenarios!G6</x:f>
        <x:v>259608634.6927565</x:v>
      </x:c>
      <x:c r="E4" s="86" t="n">
        <x:f>Scenarios!G7</x:f>
        <x:v>346144846.25700873</x:v>
      </x:c>
      <x:c r="F4" s="86" t="n">
        <x:f>Scenarios!G8</x:f>
        <x:v>415373815.5084104</x:v>
      </x:c>
      <x:c r="G4" s="86" t="n">
        <x:f>SUM(B4:F4)</x:f>
        <x:v>1211506961.8995304</x:v>
      </x:c>
    </x:row>
    <x:row r="5">
      <x:c r="A5" s="101" t="str">
        <x:v>Base</x:v>
      </x:c>
      <x:c r="B5" s="146" t="n">
        <x:f>Scenarios!G9</x:f>
        <x:v>129804317.34637825</x:v>
      </x:c>
      <x:c r="C5" s="146" t="n">
        <x:f>Scenarios!G10</x:f>
        <x:v>346144846.25700873</x:v>
      </x:c>
      <x:c r="D5" s="146" t="n">
        <x:f>Scenarios!G11</x:f>
        <x:v>649021586.7318913</x:v>
      </x:c>
      <x:c r="E5" s="146" t="n">
        <x:f>Scenarios!G12</x:f>
        <x:v>865362115.6425217</x:v>
      </x:c>
      <x:c r="F5" s="146" t="n">
        <x:f>Scenarios!G13</x:f>
        <x:v>1038434538.771026</x:v>
      </x:c>
      <x:c r="G5" s="146" t="n">
        <x:f>SUM(B5:F5)</x:f>
        <x:v>3028767404.748826</x:v>
      </x:c>
    </x:row>
    <x:row r="6">
      <x:c r="A6" s="80" t="str">
        <x:v>Upside</x:v>
      </x:c>
      <x:c r="B6" s="86" t="n">
        <x:f>Scenarios!G14</x:f>
        <x:v>233647771.22348088</x:v>
      </x:c>
      <x:c r="C6" s="86" t="n">
        <x:f>Scenarios!G15</x:f>
        <x:v>623060723.2626157</x:v>
      </x:c>
      <x:c r="D6" s="86" t="n">
        <x:f>Scenarios!G16</x:f>
        <x:v>1168238856.1174045</x:v>
      </x:c>
      <x:c r="E6" s="86" t="n">
        <x:f>Scenarios!G17</x:f>
        <x:v>1557651808.156539</x:v>
      </x:c>
      <x:c r="F6" s="86" t="n">
        <x:f>Scenarios!G18</x:f>
        <x:v>1869182169.787847</x:v>
      </x:c>
      <x:c r="G6" s="86" t="n">
        <x:f>SUM(B6:F6)</x:f>
        <x:v>5451781328.547888</x:v>
      </x:c>
    </x:row>
    <x:row r="7">
      <x:c r="A7" s="80"/>
      <x:c r="B7" s="80"/>
      <x:c r="C7" s="80"/>
      <x:c r="D7" s="80"/>
      <x:c r="E7" s="80"/>
      <x:c r="F7" s="80"/>
      <x:c r="G7" s="80"/>
    </x:row>
    <x:row r="8">
      <x:c r="A8" s="22" t="str">
        <x:v>Base Case Interpretation</x:v>
      </x:c>
      <x:c r="B8" s="22" t="str"/>
      <x:c r="C8" s="22" t="str"/>
      <x:c r="D8" s="22" t="str"/>
      <x:c r="E8" s="22" t="str"/>
      <x:c r="F8" s="22" t="str"/>
      <x:c r="G8" s="22" t="str"/>
    </x:row>
    <x:row r="9">
      <x:c r="A9" s="80" t="str">
        <x:v>Year 5 modeled annual net sales</x:v>
      </x:c>
      <x:c r="B9" s="86" t="n">
        <x:f>F5</x:f>
        <x:v>1038434538.771026</x:v>
      </x:c>
      <x:c r="C9" s="80" t="str"/>
      <x:c r="D9" s="80" t="str"/>
      <x:c r="E9" s="80" t="str"/>
      <x:c r="F9" s="80" t="str"/>
      <x:c r="G9" s="80" t="str"/>
    </x:row>
    <x:row r="10">
      <x:c r="A10" s="80" t="str">
        <x:v>Five-year cumulative modeled net sales</x:v>
      </x:c>
      <x:c r="B10" s="86" t="n">
        <x:f>G5</x:f>
        <x:v>3028767404.748826</x:v>
      </x:c>
      <x:c r="C10" s="80" t="str"/>
      <x:c r="D10" s="80" t="str"/>
      <x:c r="E10" s="80" t="str"/>
      <x:c r="F10" s="80" t="str"/>
      <x:c r="G10" s="80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22" hidden="0" customWidth="1"/>
    <x:col min="6" max="6" width="24" hidden="0" customWidth="1"/>
    <x:col min="7" max="7" width="26" hidden="0" customWidth="1"/>
  </x:cols>
  <x:sheetData>
    <x:row r="1" ht="28" customHeight="1">
      <x:c r="A1" s="148" t="str">
        <x:v>Illustrative 5-Year Adoption Ramp</x:v>
      </x:c>
      <x:c r="B1" s="148"/>
      <x:c r="C1" s="148"/>
      <x:c r="D1" s="148"/>
      <x:c r="E1" s="148"/>
      <x:c r="F1" s="148"/>
      <x:c r="G1" s="151"/>
    </x:row>
    <x:row r="2">
      <x:c r="A2" s="80"/>
      <x:c r="B2" s="80"/>
      <x:c r="C2" s="80"/>
      <x:c r="D2" s="80"/>
      <x:c r="E2" s="80"/>
      <x:c r="F2" s="80"/>
      <x:c r="G2"/>
    </x:row>
    <x:row r="3">
      <x:c r="A3" s="22" t="str">
        <x:v>Scenario</x:v>
      </x:c>
      <x:c r="B3" s="22" t="str">
        <x:v>Year</x:v>
      </x:c>
      <x:c r="C3" s="22" t="str">
        <x:v>Market Share</x:v>
      </x:c>
      <x:c r="D3" s="22" t="str">
        <x:v>Price Factor</x:v>
      </x:c>
      <x:c r="E3" s="22" t="str">
        <x:v>Net Price</x:v>
      </x:c>
      <x:c r="F3" s="22" t="str">
        <x:v>Modeled Product Patients</x:v>
      </x:c>
      <x:c r="G3" s="155" t="str">
        <x:v>Modeled Annual Net Sales</x:v>
      </x:c>
    </x:row>
    <x:row r="4">
      <x:c r="A4" s="80" t="str">
        <x:v>Downside</x:v>
      </x:c>
      <x:c r="B4" s="80" t="str">
        <x:v>Year 1</x:v>
      </x:c>
      <x:c r="C4" s="85" t="n">
        <x:v>0.0075</x:v>
      </x:c>
      <x:c r="D4" s="145" t="n">
        <x:v>0.8</x:v>
      </x:c>
      <x:c r="E4" s="86" t="n">
        <x:f>Assumptions!$C$12*D4</x:f>
        <x:v>6000</x:v>
      </x:c>
      <x:c r="F4" s="100" t="n">
        <x:f>'Patient Funnel'!$B$9*C4</x:f>
        <x:v>8653.621156425217</x:v>
      </x:c>
      <x:c r="G4" s="157" t="n">
        <x:f>F4*E4</x:f>
        <x:v>51921726.9385513</x:v>
      </x:c>
    </x:row>
    <x:row r="5">
      <x:c r="A5" s="80" t="str">
        <x:v>Downside</x:v>
      </x:c>
      <x:c r="B5" s="80" t="str">
        <x:v>Year 2</x:v>
      </x:c>
      <x:c r="C5" s="85" t="n">
        <x:v>0.02</x:v>
      </x:c>
      <x:c r="D5" s="145" t="n">
        <x:v>0.8</x:v>
      </x:c>
      <x:c r="E5" s="86" t="n">
        <x:f>Assumptions!$C$12*D5</x:f>
        <x:v>6000</x:v>
      </x:c>
      <x:c r="F5" s="100" t="n">
        <x:f>'Patient Funnel'!$B$9*C5</x:f>
        <x:v>23076.32308380058</x:v>
      </x:c>
      <x:c r="G5" s="157" t="n">
        <x:f>F5*E5</x:f>
        <x:v>138457938.50280347</x:v>
      </x:c>
    </x:row>
    <x:row r="6">
      <x:c r="A6" s="80" t="str">
        <x:v>Downside</x:v>
      </x:c>
      <x:c r="B6" s="80" t="str">
        <x:v>Year 3</x:v>
      </x:c>
      <x:c r="C6" s="85" t="n">
        <x:v>0.0375</x:v>
      </x:c>
      <x:c r="D6" s="145" t="n">
        <x:v>0.8</x:v>
      </x:c>
      <x:c r="E6" s="86" t="n">
        <x:f>Assumptions!$C$12*D6</x:f>
        <x:v>6000</x:v>
      </x:c>
      <x:c r="F6" s="100" t="n">
        <x:f>'Patient Funnel'!$B$9*C6</x:f>
        <x:v>43268.105782126084</x:v>
      </x:c>
      <x:c r="G6" s="157" t="n">
        <x:f>F6*E6</x:f>
        <x:v>259608634.6927565</x:v>
      </x:c>
    </x:row>
    <x:row r="7">
      <x:c r="A7" s="80" t="str">
        <x:v>Downside</x:v>
      </x:c>
      <x:c r="B7" s="80" t="str">
        <x:v>Year 4</x:v>
      </x:c>
      <x:c r="C7" s="85" t="n">
        <x:v>0.05</x:v>
      </x:c>
      <x:c r="D7" s="145" t="n">
        <x:v>0.8</x:v>
      </x:c>
      <x:c r="E7" s="86" t="n">
        <x:f>Assumptions!$C$12*D7</x:f>
        <x:v>6000</x:v>
      </x:c>
      <x:c r="F7" s="100" t="n">
        <x:f>'Patient Funnel'!$B$9*C7</x:f>
        <x:v>57690.80770950145</x:v>
      </x:c>
      <x:c r="G7" s="157" t="n">
        <x:f>F7*E7</x:f>
        <x:v>346144846.25700873</x:v>
      </x:c>
    </x:row>
    <x:row r="8">
      <x:c r="A8" s="80" t="str">
        <x:v>Downside</x:v>
      </x:c>
      <x:c r="B8" s="80" t="str">
        <x:v>Year 5</x:v>
      </x:c>
      <x:c r="C8" s="85" t="n">
        <x:v>0.06</x:v>
      </x:c>
      <x:c r="D8" s="145" t="n">
        <x:v>0.8</x:v>
      </x:c>
      <x:c r="E8" s="86" t="n">
        <x:f>Assumptions!$C$12*D8</x:f>
        <x:v>6000</x:v>
      </x:c>
      <x:c r="F8" s="100" t="n">
        <x:f>'Patient Funnel'!$B$9*C8</x:f>
        <x:v>69228.96925140174</x:v>
      </x:c>
      <x:c r="G8" s="157" t="n">
        <x:f>F8*E8</x:f>
        <x:v>415373815.5084104</x:v>
      </x:c>
    </x:row>
    <x:row r="9">
      <x:c r="A9" s="80" t="str">
        <x:v>Base</x:v>
      </x:c>
      <x:c r="B9" s="80" t="str">
        <x:v>Year 1</x:v>
      </x:c>
      <x:c r="C9" s="85" t="n">
        <x:v>0.015</x:v>
      </x:c>
      <x:c r="D9" s="145" t="n">
        <x:v>1</x:v>
      </x:c>
      <x:c r="E9" s="86" t="n">
        <x:f>Assumptions!$C$12*D9</x:f>
        <x:v>7500</x:v>
      </x:c>
      <x:c r="F9" s="100" t="n">
        <x:f>'Patient Funnel'!$B$9*C9</x:f>
        <x:v>17307.242312850434</x:v>
      </x:c>
      <x:c r="G9" s="157" t="n">
        <x:f>F9*E9</x:f>
        <x:v>129804317.34637825</x:v>
      </x:c>
    </x:row>
    <x:row r="10">
      <x:c r="A10" s="80" t="str">
        <x:v>Base</x:v>
      </x:c>
      <x:c r="B10" s="80" t="str">
        <x:v>Year 2</x:v>
      </x:c>
      <x:c r="C10" s="85" t="n">
        <x:v>0.04</x:v>
      </x:c>
      <x:c r="D10" s="145" t="n">
        <x:v>1</x:v>
      </x:c>
      <x:c r="E10" s="86" t="n">
        <x:f>Assumptions!$C$12*D10</x:f>
        <x:v>7500</x:v>
      </x:c>
      <x:c r="F10" s="100" t="n">
        <x:f>'Patient Funnel'!$B$9*C10</x:f>
        <x:v>46152.64616760116</x:v>
      </x:c>
      <x:c r="G10" s="157" t="n">
        <x:f>F10*E10</x:f>
        <x:v>346144846.25700873</x:v>
      </x:c>
    </x:row>
    <x:row r="11">
      <x:c r="A11" s="80" t="str">
        <x:v>Base</x:v>
      </x:c>
      <x:c r="B11" s="80" t="str">
        <x:v>Year 3</x:v>
      </x:c>
      <x:c r="C11" s="85" t="n">
        <x:v>0.075</x:v>
      </x:c>
      <x:c r="D11" s="145" t="n">
        <x:v>1</x:v>
      </x:c>
      <x:c r="E11" s="86" t="n">
        <x:f>Assumptions!$C$12*D11</x:f>
        <x:v>7500</x:v>
      </x:c>
      <x:c r="F11" s="100" t="n">
        <x:f>'Patient Funnel'!$B$9*C11</x:f>
        <x:v>86536.21156425217</x:v>
      </x:c>
      <x:c r="G11" s="157" t="n">
        <x:f>F11*E11</x:f>
        <x:v>649021586.7318913</x:v>
      </x:c>
    </x:row>
    <x:row r="12">
      <x:c r="A12" s="80" t="str">
        <x:v>Base</x:v>
      </x:c>
      <x:c r="B12" s="80" t="str">
        <x:v>Year 4</x:v>
      </x:c>
      <x:c r="C12" s="85" t="n">
        <x:v>0.1</x:v>
      </x:c>
      <x:c r="D12" s="145" t="n">
        <x:v>1</x:v>
      </x:c>
      <x:c r="E12" s="86" t="n">
        <x:f>Assumptions!$C$12*D12</x:f>
        <x:v>7500</x:v>
      </x:c>
      <x:c r="F12" s="100" t="n">
        <x:f>'Patient Funnel'!$B$9*C12</x:f>
        <x:v>115381.6154190029</x:v>
      </x:c>
      <x:c r="G12" s="157" t="n">
        <x:f>F12*E12</x:f>
        <x:v>865362115.6425217</x:v>
      </x:c>
    </x:row>
    <x:row r="13">
      <x:c r="A13" s="80" t="str">
        <x:v>Base</x:v>
      </x:c>
      <x:c r="B13" s="80" t="str">
        <x:v>Year 5</x:v>
      </x:c>
      <x:c r="C13" s="85" t="n">
        <x:v>0.12</x:v>
      </x:c>
      <x:c r="D13" s="145" t="n">
        <x:v>1</x:v>
      </x:c>
      <x:c r="E13" s="86" t="n">
        <x:f>Assumptions!$C$12*D13</x:f>
        <x:v>7500</x:v>
      </x:c>
      <x:c r="F13" s="100" t="n">
        <x:f>'Patient Funnel'!$B$9*C13</x:f>
        <x:v>138457.93850280347</x:v>
      </x:c>
      <x:c r="G13" s="157" t="n">
        <x:f>F13*E13</x:f>
        <x:v>1038434538.771026</x:v>
      </x:c>
    </x:row>
    <x:row r="14">
      <x:c r="A14" s="80" t="str">
        <x:v>Upside</x:v>
      </x:c>
      <x:c r="B14" s="80" t="str">
        <x:v>Year 1</x:v>
      </x:c>
      <x:c r="C14" s="85" t="n">
        <x:v>0.0225</x:v>
      </x:c>
      <x:c r="D14" s="145" t="n">
        <x:v>1.2</x:v>
      </x:c>
      <x:c r="E14" s="86" t="n">
        <x:f>Assumptions!$C$12*D14</x:f>
        <x:v>9000</x:v>
      </x:c>
      <x:c r="F14" s="100" t="n">
        <x:f>'Patient Funnel'!$B$9*C14</x:f>
        <x:v>25960.863469275653</x:v>
      </x:c>
      <x:c r="G14" s="157" t="n">
        <x:f>F14*E14</x:f>
        <x:v>233647771.22348088</x:v>
      </x:c>
    </x:row>
    <x:row r="15">
      <x:c r="A15" s="80" t="str">
        <x:v>Upside</x:v>
      </x:c>
      <x:c r="B15" s="80" t="str">
        <x:v>Year 2</x:v>
      </x:c>
      <x:c r="C15" s="85" t="n">
        <x:v>0.06</x:v>
      </x:c>
      <x:c r="D15" s="145" t="n">
        <x:v>1.2</x:v>
      </x:c>
      <x:c r="E15" s="86" t="n">
        <x:f>Assumptions!$C$12*D15</x:f>
        <x:v>9000</x:v>
      </x:c>
      <x:c r="F15" s="100" t="n">
        <x:f>'Patient Funnel'!$B$9*C15</x:f>
        <x:v>69228.96925140174</x:v>
      </x:c>
      <x:c r="G15" s="157" t="n">
        <x:f>F15*E15</x:f>
        <x:v>623060723.2626157</x:v>
      </x:c>
    </x:row>
    <x:row r="16">
      <x:c r="A16" s="80" t="str">
        <x:v>Upside</x:v>
      </x:c>
      <x:c r="B16" s="80" t="str">
        <x:v>Year 3</x:v>
      </x:c>
      <x:c r="C16" s="85" t="n">
        <x:v>0.1125</x:v>
      </x:c>
      <x:c r="D16" s="145" t="n">
        <x:v>1.2</x:v>
      </x:c>
      <x:c r="E16" s="86" t="n">
        <x:f>Assumptions!$C$12*D16</x:f>
        <x:v>9000</x:v>
      </x:c>
      <x:c r="F16" s="100" t="n">
        <x:f>'Patient Funnel'!$B$9*C16</x:f>
        <x:v>129804.31734637827</x:v>
      </x:c>
      <x:c r="G16" s="157" t="n">
        <x:f>F16*E16</x:f>
        <x:v>1168238856.1174045</x:v>
      </x:c>
    </x:row>
    <x:row r="17">
      <x:c r="A17" s="80" t="str">
        <x:v>Upside</x:v>
      </x:c>
      <x:c r="B17" s="80" t="str">
        <x:v>Year 4</x:v>
      </x:c>
      <x:c r="C17" s="85" t="n">
        <x:v>0.15</x:v>
      </x:c>
      <x:c r="D17" s="145" t="n">
        <x:v>1.2</x:v>
      </x:c>
      <x:c r="E17" s="86" t="n">
        <x:f>Assumptions!$C$12*D17</x:f>
        <x:v>9000</x:v>
      </x:c>
      <x:c r="F17" s="100" t="n">
        <x:f>'Patient Funnel'!$B$9*C17</x:f>
        <x:v>173072.42312850434</x:v>
      </x:c>
      <x:c r="G17" s="157" t="n">
        <x:f>F17*E17</x:f>
        <x:v>1557651808.156539</x:v>
      </x:c>
    </x:row>
    <x:row r="18">
      <x:c r="A18" s="80" t="str">
        <x:v>Upside</x:v>
      </x:c>
      <x:c r="B18" s="80" t="str">
        <x:v>Year 5</x:v>
      </x:c>
      <x:c r="C18" s="85" t="n">
        <x:v>0.18</x:v>
      </x:c>
      <x:c r="D18" s="145" t="n">
        <x:v>1.2</x:v>
      </x:c>
      <x:c r="E18" s="86" t="n">
        <x:f>Assumptions!$C$12*D18</x:f>
        <x:v>9000</x:v>
      </x:c>
      <x:c r="F18" s="100" t="n">
        <x:f>'Patient Funnel'!$B$9*C18</x:f>
        <x:v>207686.90775420523</x:v>
      </x:c>
      <x:c r="G18" s="157" t="n">
        <x:f>F18*E18</x:f>
        <x:v>1869182169.787847</x:v>
      </x:c>
    </x:row>
    <x:row r="19">
      <x:c r="A19" s="80"/>
      <x:c r="B19" s="80"/>
      <x:c r="C19" s="80"/>
      <x:c r="D19" s="80"/>
      <x:c r="E19" s="80"/>
      <x:c r="F19" s="80"/>
      <x:c r="G19"/>
    </x:row>
    <x:row r="20">
      <x:c r="A20" s="158" t="str">
        <x:v>Assumptions</x:v>
      </x:c>
      <x:c r="B20" s="158"/>
      <x:c r="C20" s="158"/>
      <x:c r="D20" s="158"/>
      <x:c r="E20" s="158"/>
      <x:c r="F20" s="158"/>
      <x:c r="G20" s="155"/>
    </x:row>
    <x:row r="21" ht="30" customHeight="1">
      <x:c r="A21" s="80" t="str">
        <x:v>Each modeled patient represents one patient-year; no mid-year launch effect or within-year discontinuation is modeled.</x:v>
      </x:c>
      <x:c r="B21" s="80"/>
      <x:c r="C21" s="80"/>
      <x:c r="D21" s="80"/>
      <x:c r="E21" s="80"/>
      <x:c r="F21" s="80"/>
      <x:c r="G21" s="80"/>
    </x:row>
    <x:row r="22" ht="30" customHeight="1">
      <x:c r="A22" s="80" t="str">
        <x:v>The Illustrative 5-Year Adoption Ramp uses scenario assumptions; percentages are not fitted to historical launch data.</x:v>
      </x:c>
      <x:c r="B22" s="80"/>
      <x:c r="C22" s="80"/>
      <x:c r="D22" s="80"/>
      <x:c r="E22" s="80"/>
      <x:c r="F22" s="80"/>
      <x:c r="G22" s="80"/>
    </x:row>
  </x:sheetData>
  <x:mergeCells>
    <x:mergeCell ref="A1:G1"/>
    <x:mergeCell ref="A20:G20"/>
    <x:mergeCell ref="A21:G21"/>
    <x:mergeCell ref="A22:G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</x:cols>
  <x:sheetData>
    <x:row r="1" ht="28" customHeight="1">
      <x:c r="A1" s="28" t="str">
        <x:v>Revenue Sensitivity Analysis</x:v>
      </x:c>
      <x:c r="B1" s="28"/>
      <x:c r="C1" s="28"/>
      <x:c r="D1" s="28"/>
      <x:c r="E1" s="28"/>
      <x:c r="F1" s="28"/>
      <x:c r="G1" s="28"/>
      <x:c r="H1" s="28"/>
    </x:row>
    <x:row r="2">
      <x:c r="A2" s="80"/>
      <x:c r="B2" s="80"/>
      <x:c r="C2" s="80"/>
      <x:c r="D2" s="80"/>
      <x:c r="E2" s="80"/>
      <x:c r="F2" s="80"/>
      <x:c r="G2" s="80"/>
      <x:c r="H2" s="80"/>
    </x:row>
    <x:row r="3">
      <x:c r="A3" s="22" t="str">
        <x:v>Driver</x:v>
      </x:c>
      <x:c r="B3" s="22" t="str">
        <x:v>Low Input</x:v>
      </x:c>
      <x:c r="C3" s="22" t="str">
        <x:v>Base Input</x:v>
      </x:c>
      <x:c r="D3" s="22" t="str">
        <x:v>High Input</x:v>
      </x:c>
      <x:c r="E3" s="22" t="str">
        <x:v>Year 5 Revenue Spread</x:v>
      </x:c>
      <x:c r="F3" s="80"/>
      <x:c r="G3" s="80"/>
      <x:c r="H3" s="80"/>
    </x:row>
    <x:row r="4">
      <x:c r="A4" s="80" t="str">
        <x:v>Market Share</x:v>
      </x:c>
      <x:c r="B4" s="85" t="n">
        <x:f>Assumptions!C14</x:f>
        <x:v>0.08</x:v>
      </x:c>
      <x:c r="C4" s="85" t="n">
        <x:f>Assumptions!C13</x:f>
        <x:v>0.12</x:v>
      </x:c>
      <x:c r="D4" s="85" t="n">
        <x:f>Assumptions!C15</x:f>
        <x:v>0.16</x:v>
      </x:c>
      <x:c r="E4" s="86" t="n">
        <x:f>('Patient Funnel'!B9*D4*Assumptions!C12)-('Patient Funnel'!B9*B4*Assumptions!C12)</x:f>
        <x:v>692289692.5140175</x:v>
      </x:c>
      <x:c r="F4" s="80"/>
      <x:c r="G4" s="80"/>
      <x:c r="H4" s="80"/>
    </x:row>
    <x:row r="5">
      <x:c r="A5" s="80" t="str">
        <x:v>Net Price</x:v>
      </x:c>
      <x:c r="B5" s="86" t="n">
        <x:f>Assumptions!$C$12*Assumptions!$C$16</x:f>
        <x:v>6000</x:v>
      </x:c>
      <x:c r="C5" s="86" t="n">
        <x:f>Assumptions!$C$12</x:f>
        <x:v>7500</x:v>
      </x:c>
      <x:c r="D5" s="86" t="n">
        <x:f>Assumptions!$C$12*Assumptions!$C$17</x:f>
        <x:v>9000</x:v>
      </x:c>
      <x:c r="E5" s="86" t="n">
        <x:f>('Patient Funnel'!B9*Assumptions!C13*D5)-('Patient Funnel'!B9*Assumptions!C13*B5)</x:f>
        <x:v>415373815.5084106</x:v>
      </x:c>
      <x:c r="F5" s="80"/>
      <x:c r="G5" s="80"/>
      <x:c r="H5" s="80"/>
    </x:row>
    <x:row r="6">
      <x:c r="A6" s="80" t="str">
        <x:v>Addressable Patient Pool</x:v>
      </x:c>
      <x:c r="B6" s="100" t="n">
        <x:f>'Patient Funnel'!B9*Assumptions!C18</x:f>
        <x:v>923052.9233520232</x:v>
      </x:c>
      <x:c r="C6" s="100" t="n">
        <x:f>'Patient Funnel'!B9</x:f>
        <x:v>1153816.154190029</x:v>
      </x:c>
      <x:c r="D6" s="100" t="n">
        <x:f>'Patient Funnel'!B9*Assumptions!C19</x:f>
        <x:v>1384579.3850280347</x:v>
      </x:c>
      <x:c r="E6" s="86" t="n">
        <x:f>(D6*Assumptions!C13*Assumptions!C12)-(B6*Assumptions!C13*Assumptions!C12)</x:f>
        <x:v>415373815.5084102</x:v>
      </x:c>
      <x:c r="F6" s="80"/>
      <x:c r="G6" s="80"/>
      <x:c r="H6" s="80"/>
    </x:row>
    <x:row r="7">
      <x:c r="A7" s="80"/>
      <x:c r="B7" s="80"/>
      <x:c r="C7" s="80"/>
      <x:c r="D7" s="80"/>
      <x:c r="E7" s="80"/>
      <x:c r="F7" s="80"/>
      <x:c r="G7" s="80"/>
      <x:c r="H7" s="80"/>
    </x:row>
    <x:row r="8">
      <x:c r="A8" s="80"/>
      <x:c r="B8" s="80"/>
      <x:c r="C8" s="80"/>
      <x:c r="D8" s="80"/>
      <x:c r="E8" s="80"/>
      <x:c r="F8" s="80"/>
      <x:c r="G8" s="80"/>
      <x:c r="H8" s="80"/>
    </x:row>
    <x:row r="9">
      <x:c r="A9" s="22" t="str">
        <x:v>Market Share × Net Price</x:v>
      </x:c>
      <x:c r="B9" s="147" t="n">
        <x:f>B5</x:f>
        <x:v>6000</x:v>
      </x:c>
      <x:c r="C9" s="147" t="n">
        <x:f>C5</x:f>
        <x:v>7500</x:v>
      </x:c>
      <x:c r="D9" s="147" t="n">
        <x:f>D5</x:f>
        <x:v>9000</x:v>
      </x:c>
      <x:c r="E9" s="22" t="str"/>
      <x:c r="F9" s="80"/>
      <x:c r="G9" s="80"/>
      <x:c r="H9" s="80"/>
    </x:row>
    <x:row r="10">
      <x:c r="A10" s="85" t="n">
        <x:f>B4</x:f>
        <x:v>0.08</x:v>
      </x:c>
      <x:c r="B10" s="86" t="n">
        <x:f>'Patient Funnel'!$B$9*$A10*$B$9</x:f>
        <x:v>553831754.0112139</x:v>
      </x:c>
      <x:c r="C10" s="86" t="n">
        <x:f>'Patient Funnel'!$B$9*$A10*$C$9</x:f>
        <x:v>692289692.5140175</x:v>
      </x:c>
      <x:c r="D10" s="86" t="n">
        <x:f>'Patient Funnel'!$B$9*$A10*$D$9</x:f>
        <x:v>830747631.0168209</x:v>
      </x:c>
      <x:c r="E10" s="80"/>
      <x:c r="F10" s="80"/>
      <x:c r="G10" s="80"/>
      <x:c r="H10" s="80"/>
    </x:row>
    <x:row r="11">
      <x:c r="A11" s="85" t="n">
        <x:f>C4</x:f>
        <x:v>0.12</x:v>
      </x:c>
      <x:c r="B11" s="86" t="n">
        <x:f>'Patient Funnel'!$B$9*$A11*$B$9</x:f>
        <x:v>830747631.0168208</x:v>
      </x:c>
      <x:c r="C11" s="86" t="n">
        <x:f>'Patient Funnel'!$B$9*$A11*$C$9</x:f>
        <x:v>1038434538.771026</x:v>
      </x:c>
      <x:c r="D11" s="86" t="n">
        <x:f>'Patient Funnel'!$B$9*$A11*$D$9</x:f>
        <x:v>1246121446.5252314</x:v>
      </x:c>
      <x:c r="E11" s="80"/>
      <x:c r="F11" s="80"/>
      <x:c r="G11" s="80"/>
      <x:c r="H11" s="80"/>
    </x:row>
    <x:row r="12">
      <x:c r="A12" s="85" t="n">
        <x:f>D4</x:f>
        <x:v>0.16</x:v>
      </x:c>
      <x:c r="B12" s="86" t="n">
        <x:f>'Patient Funnel'!$B$9*$A12*$B$9</x:f>
        <x:v>1107663508.0224278</x:v>
      </x:c>
      <x:c r="C12" s="86" t="n">
        <x:f>'Patient Funnel'!$B$9*$A12*$C$9</x:f>
        <x:v>1384579385.028035</x:v>
      </x:c>
      <x:c r="D12" s="86" t="n">
        <x:f>'Patient Funnel'!$B$9*$A12*$D$9</x:f>
        <x:v>1661495262.0336418</x:v>
      </x:c>
      <x:c r="E12" s="80"/>
      <x:c r="F12" s="80"/>
      <x:c r="G12" s="80"/>
      <x:c r="H12" s="80"/>
    </x:row>
    <x:row r="13">
      <x:c r="A13" s="80"/>
      <x:c r="B13" s="80"/>
      <x:c r="C13" s="80"/>
      <x:c r="D13" s="80"/>
      <x:c r="E13" s="80"/>
      <x:c r="F13" s="80"/>
      <x:c r="G13" s="80"/>
      <x:c r="H13" s="80"/>
    </x:row>
    <x:row r="14">
      <x:c r="A14" s="22" t="str">
        <x:v>Interpretation</x:v>
      </x:c>
      <x:c r="B14" s="22" t="str"/>
      <x:c r="C14" s="22" t="str"/>
      <x:c r="D14" s="22" t="str"/>
      <x:c r="E14" s="22" t="str"/>
      <x:c r="F14" s="80"/>
      <x:c r="G14" s="80"/>
      <x:c r="H14" s="80"/>
    </x:row>
    <x:row r="15">
      <x:c r="A15" s="80" t="str">
        <x:v>Revenue sensitivity is linear in each driver when the others are fixed.</x:v>
      </x:c>
      <x:c r="B15" s="80" t="str"/>
      <x:c r="C15" s="80" t="str"/>
      <x:c r="D15" s="80" t="str"/>
      <x:c r="E15" s="80" t="str"/>
      <x:c r="F15" s="80"/>
      <x:c r="G15" s="80"/>
      <x:c r="H15" s="80"/>
    </x:row>
    <x:row r="16">
      <x:c r="A16" s="80" t="str">
        <x:v>The spread depends on the selected low/high ranges; it is not a formal responsiveness comparison.</x:v>
      </x:c>
      <x:c r="B16" s="80" t="str"/>
      <x:c r="C16" s="80" t="str"/>
      <x:c r="D16" s="80" t="str"/>
      <x:c r="E16" s="80" t="str"/>
      <x:c r="F16" s="80"/>
      <x:c r="G16" s="80"/>
      <x:c r="H16" s="80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18" hidden="0" customWidth="1"/>
    <x:col min="5" max="5" width="34" hidden="0" customWidth="1"/>
    <x:col min="6" max="6" width="16" hidden="0" customWidth="1"/>
    <x:col min="7" max="7" width="22" hidden="0" customWidth="1"/>
    <x:col min="8" max="8" width="22" hidden="0" customWidth="1"/>
    <x:col min="9" max="9" width="44" hidden="0" customWidth="1"/>
    <x:col min="10" max="10" width="28" hidden="0" customWidth="1"/>
  </x:cols>
  <x:sheetData>
    <x:row r="1" ht="28" customHeight="1">
      <x:c r="A1" s="28" t="str">
        <x:v>Historical Competitor Benchmarks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</x:row>
    <x:row r="3">
      <x:c r="A3" s="22" t="str">
        <x:v>Product</x:v>
      </x:c>
      <x:c r="B3" s="22" t="str">
        <x:v>Company</x:v>
      </x:c>
      <x:c r="C3" s="22" t="str">
        <x:v>Modality</x:v>
      </x:c>
      <x:c r="D3" s="22" t="str">
        <x:v>Route</x:v>
      </x:c>
      <x:c r="E3" s="22" t="str">
        <x:v>Dosing</x:v>
      </x:c>
      <x:c r="F3" s="22" t="str">
        <x:v>Initial Approval</x:v>
      </x:c>
      <x:c r="G3" s="22" t="str">
        <x:v>2023 Reported Sales ($M)</x:v>
      </x:c>
      <x:c r="H3" s="22" t="str">
        <x:v>Sales Scope</x:v>
      </x:c>
      <x:c r="I3" s="22" t="str">
        <x:v>Indication Scope</x:v>
      </x:c>
      <x:c r="J3" s="22" t="str">
        <x:v>Source</x:v>
      </x:c>
    </x:row>
    <x:row r="4">
      <x:c r="A4" s="80" t="str">
        <x:v>Nurtec ODT / Vydura</x:v>
      </x:c>
      <x:c r="B4" s="80" t="str">
        <x:v>Pfizer</x:v>
      </x:c>
      <x:c r="C4" s="80" t="str">
        <x:v>CGRP receptor antagonist</x:v>
      </x:c>
      <x:c r="D4" s="80" t="str">
        <x:v>Oral ODT</x:v>
      </x:c>
      <x:c r="E4" s="80" t="str">
        <x:v>Every other day for prevention; as-needed acute</x:v>
      </x:c>
      <x:c r="F4" s="80" t="n">
        <x:v>2020</x:v>
      </x:c>
      <x:c r="G4" s="86" t="n">
        <x:v>928</x:v>
      </x:c>
      <x:c r="H4" s="80" t="str">
        <x:v>Global</x:v>
      </x:c>
      <x:c r="I4" s="80" t="str">
        <x:v>Includes acute and preventive uses</x:v>
      </x:c>
      <x:c r="J4" s="80" t="str">
        <x:v>Pfizer 2023 Form 10-K</x:v>
      </x:c>
    </x:row>
    <x:row r="5">
      <x:c r="A5" s="80" t="str">
        <x:v>Qulipta</x:v>
      </x:c>
      <x:c r="B5" s="80" t="str">
        <x:v>AbbVie</x:v>
      </x:c>
      <x:c r="C5" s="80" t="str">
        <x:v>CGRP receptor antagonist</x:v>
      </x:c>
      <x:c r="D5" s="80" t="str">
        <x:v>Oral tablet</x:v>
      </x:c>
      <x:c r="E5" s="80" t="str">
        <x:v>Once daily</x:v>
      </x:c>
      <x:c r="F5" s="80" t="n">
        <x:v>2021</x:v>
      </x:c>
      <x:c r="G5" s="86" t="n">
        <x:v>408</x:v>
      </x:c>
      <x:c r="H5" s="80" t="str">
        <x:v>Global</x:v>
      </x:c>
      <x:c r="I5" s="80" t="str">
        <x:v>Preventive product; $405M US + $3M international</x:v>
      </x:c>
      <x:c r="J5" s="80" t="str">
        <x:v>AbbVie FY2023 results</x:v>
      </x:c>
    </x:row>
    <x:row r="6">
      <x:c r="A6" s="80" t="str">
        <x:v>Aimovig</x:v>
      </x:c>
      <x:c r="B6" s="80" t="str">
        <x:v>Amgen</x:v>
      </x:c>
      <x:c r="C6" s="80" t="str">
        <x:v>CGRP receptor monoclonal antibody</x:v>
      </x:c>
      <x:c r="D6" s="80" t="str">
        <x:v>Subcutaneous</x:v>
      </x:c>
      <x:c r="E6" s="80" t="str">
        <x:v>Monthly</x:v>
      </x:c>
      <x:c r="F6" s="80" t="n">
        <x:v>2018</x:v>
      </x:c>
      <x:c r="G6" s="86" t="n">
        <x:v>323</x:v>
      </x:c>
      <x:c r="H6" s="80" t="str">
        <x:v>Global</x:v>
      </x:c>
      <x:c r="I6" s="80" t="str">
        <x:v>Preventive; $303M US + $20M ROW</x:v>
      </x:c>
      <x:c r="J6" s="80" t="str">
        <x:v>Amgen FY2023 results</x:v>
      </x:c>
    </x:row>
    <x:row r="7">
      <x:c r="A7" s="80" t="str">
        <x:v>Botox Therapeutic</x:v>
      </x:c>
      <x:c r="B7" s="80" t="str">
        <x:v>AbbVie</x:v>
      </x:c>
      <x:c r="C7" s="80" t="str">
        <x:v>OnabotulinumtoxinA</x:v>
      </x:c>
      <x:c r="D7" s="80" t="str">
        <x:v>Injection</x:v>
      </x:c>
      <x:c r="E7" s="80" t="str">
        <x:v>Every 12 weeks for chronic migraine</x:v>
      </x:c>
      <x:c r="F7" s="80" t="n">
        <x:v>1989</x:v>
      </x:c>
      <x:c r="G7" s="86" t="n">
        <x:v>2991</x:v>
      </x:c>
      <x:c r="H7" s="80" t="str">
        <x:v>Global therapeutic sales</x:v>
      </x:c>
      <x:c r="I7" s="80" t="str">
        <x:v>Chronic migraine indication added in 2010; multiple indications; not migraine-specific revenue</x:v>
      </x:c>
      <x:c r="J7" s="80" t="str">
        <x:v>AbbVie FY2023 results; FDA label</x:v>
      </x:c>
    </x:row>
    <x:row r="8">
      <x:c r="A8" s="80"/>
      <x:c r="B8" s="80"/>
      <x:c r="C8" s="80"/>
      <x:c r="D8" s="80"/>
      <x:c r="E8" s="80"/>
      <x:c r="F8" s="80"/>
      <x:c r="G8" s="80"/>
      <x:c r="H8" s="80"/>
      <x:c r="I8" s="80"/>
      <x:c r="J8" s="80"/>
    </x:row>
    <x:row r="9">
      <x:c r="A9" s="22" t="str">
        <x:v>Scope warning</x:v>
      </x:c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</x:row>
    <x:row r="10">
      <x:c r="A10" s="80" t="str">
        <x:v>These reported sales are not directly comparable market sizes because product, geographic, and indication scopes differ.</x:v>
      </x:c>
      <x:c r="B10" s="80" t="str"/>
      <x:c r="C10" s="80" t="str"/>
      <x:c r="D10" s="80" t="str"/>
      <x:c r="E10" s="80" t="str"/>
      <x:c r="F10" s="80" t="str"/>
      <x:c r="G10" s="80" t="str"/>
      <x:c r="H10" s="80" t="str"/>
      <x:c r="I10" s="80" t="str"/>
      <x:c r="J10" s="80"/>
    </x:row>
    <x:row r="11">
      <x:c r="A11" s="80" t="str">
        <x:v>The fictional product is intentionally excluded from reported-sales benchmarking.</x:v>
      </x:c>
      <x:c r="B11" s="80" t="str"/>
      <x:c r="C11" s="80" t="str"/>
      <x:c r="D11" s="80" t="str"/>
      <x:c r="E11" s="80" t="str"/>
      <x:c r="F11" s="80" t="str"/>
      <x:c r="G11" s="80" t="str"/>
      <x:c r="H11" s="80" t="str"/>
      <x:c r="I11" s="80" t="str"/>
      <x:c r="J11" s="80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8" customHeight="1">
      <x:c r="A1" s="28" t="str">
        <x:v>Commercial Opportunity Dashboard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80"/>
      <x:c r="B2" s="80"/>
      <x:c r="C2" s="80"/>
      <x:c r="D2" s="80"/>
      <x:c r="E2" s="80"/>
      <x:c r="F2" s="80"/>
      <x:c r="G2" s="80"/>
      <x:c r="H2" s="80"/>
      <x:c r="I2" s="80"/>
      <x:c r="J2" s="80"/>
    </x:row>
    <x:row r="3">
      <x:c r="A3" s="22" t="str">
        <x:v>ADDRESSABLE PATIENTS</x:v>
      </x:c>
      <x:c r="B3" s="22"/>
      <x:c r="C3" s="22" t="str">
        <x:v>ADDRESSABLE POOL AT MODELED NET PRICE</x:v>
      </x:c>
      <x:c r="D3" s="22"/>
      <x:c r="E3" s="22" t="str">
        <x:v>BASE YEAR 5 NET SALES</x:v>
      </x:c>
      <x:c r="F3" s="22"/>
      <x:c r="G3" s="22" t="str">
        <x:v>YEAR 5 PRODUCT PATIENTS</x:v>
      </x:c>
      <x:c r="H3" s="22"/>
      <x:c r="I3" s="22" t="str">
        <x:v>BASE YEAR 5 SHARE</x:v>
      </x:c>
      <x:c r="J3" s="22"/>
    </x:row>
    <x:row r="4">
      <x:c r="A4" s="138" t="n">
        <x:f>'Patient Funnel'!B9</x:f>
        <x:v>1153816.154190029</x:v>
      </x:c>
      <x:c r="B4" s="138"/>
      <x:c r="C4" s="139" t="n">
        <x:f>'Patient Funnel'!B9*Assumptions!C12</x:f>
        <x:v>8653621156.425219</x:v>
      </x:c>
      <x:c r="D4" s="139"/>
      <x:c r="E4" s="139" t="n">
        <x:f>'Revenue Model'!F5</x:f>
        <x:v>1038434538.771026</x:v>
      </x:c>
      <x:c r="F4" s="139"/>
      <x:c r="G4" s="138" t="n">
        <x:f>'Patient Funnel'!B9*Assumptions!C13</x:f>
        <x:v>138457.93850280347</x:v>
      </x:c>
      <x:c r="H4" s="138"/>
      <x:c r="I4" s="140" t="n">
        <x:f>Assumptions!C13</x:f>
        <x:v>0.12</x:v>
      </x:c>
      <x:c r="J4" s="140"/>
    </x:row>
    <x:row r="5">
      <x:c r="A5" s="138"/>
      <x:c r="B5" s="138"/>
      <x:c r="C5" s="139"/>
      <x:c r="D5" s="139"/>
      <x:c r="E5" s="139"/>
      <x:c r="F5" s="139"/>
      <x:c r="G5" s="138"/>
      <x:c r="H5" s="138"/>
      <x:c r="I5" s="140"/>
      <x:c r="J5" s="140"/>
    </x:row>
    <x:row r="6">
      <x:c r="A6" s="80"/>
      <x:c r="B6" s="80"/>
      <x:c r="C6" s="80"/>
      <x:c r="D6" s="80"/>
      <x:c r="E6" s="80"/>
      <x:c r="F6" s="80"/>
      <x:c r="G6" s="80"/>
      <x:c r="H6" s="80"/>
      <x:c r="I6" s="80"/>
      <x:c r="J6" s="80"/>
    </x:row>
    <x:row r="7">
      <x:c r="A7" s="80"/>
      <x:c r="B7" s="80"/>
      <x:c r="C7" s="80"/>
      <x:c r="D7" s="80"/>
      <x:c r="E7" s="80"/>
      <x:c r="F7" s="80"/>
      <x:c r="G7" s="80"/>
      <x:c r="H7" s="80"/>
      <x:c r="I7" s="80"/>
      <x:c r="J7" s="80"/>
    </x:row>
    <x:row r="8">
      <x:c r="A8" s="22" t="str">
        <x:v>Five-Year Revenue Scenarios</x:v>
      </x:c>
      <x:c r="B8" s="22" t="str">
        <x:v>Year 1</x:v>
      </x:c>
      <x:c r="C8" s="22" t="str">
        <x:v>Year 2</x:v>
      </x:c>
      <x:c r="D8" s="22" t="str">
        <x:v>Year 3</x:v>
      </x:c>
      <x:c r="E8" s="22" t="str">
        <x:v>Year 4</x:v>
      </x:c>
      <x:c r="F8" s="22" t="str">
        <x:v>Year 5</x:v>
      </x:c>
      <x:c r="G8" s="80"/>
      <x:c r="H8" s="80"/>
      <x:c r="I8" s="80"/>
      <x:c r="J8" s="80"/>
    </x:row>
    <x:row r="9">
      <x:c r="A9" s="80" t="str">
        <x:v>Downside</x:v>
      </x:c>
      <x:c r="B9" s="122" t="n">
        <x:f>'Revenue Model'!B4</x:f>
        <x:v>51921726.9385513</x:v>
      </x:c>
      <x:c r="C9" s="122" t="n">
        <x:f>'Revenue Model'!C4</x:f>
        <x:v>138457938.50280347</x:v>
      </x:c>
      <x:c r="D9" s="122" t="n">
        <x:f>'Revenue Model'!D4</x:f>
        <x:v>259608634.6927565</x:v>
      </x:c>
      <x:c r="E9" s="122" t="n">
        <x:f>'Revenue Model'!E4</x:f>
        <x:v>346144846.25700873</x:v>
      </x:c>
      <x:c r="F9" s="122" t="n">
        <x:f>'Revenue Model'!F4</x:f>
        <x:v>415373815.5084104</x:v>
      </x:c>
      <x:c r="G9" s="80"/>
      <x:c r="H9" s="80"/>
      <x:c r="I9" s="80"/>
      <x:c r="J9" s="80"/>
    </x:row>
    <x:row r="10">
      <x:c r="A10" s="101" t="str">
        <x:v>Base</x:v>
      </x:c>
      <x:c r="B10" s="136" t="n">
        <x:f>'Revenue Model'!B5</x:f>
        <x:v>129804317.34637825</x:v>
      </x:c>
      <x:c r="C10" s="136" t="n">
        <x:f>'Revenue Model'!C5</x:f>
        <x:v>346144846.25700873</x:v>
      </x:c>
      <x:c r="D10" s="136" t="n">
        <x:f>'Revenue Model'!D5</x:f>
        <x:v>649021586.7318913</x:v>
      </x:c>
      <x:c r="E10" s="136" t="n">
        <x:f>'Revenue Model'!E5</x:f>
        <x:v>865362115.6425217</x:v>
      </x:c>
      <x:c r="F10" s="136" t="n">
        <x:f>'Revenue Model'!F5</x:f>
        <x:v>1038434538.771026</x:v>
      </x:c>
      <x:c r="G10" s="80"/>
      <x:c r="H10" s="80"/>
      <x:c r="I10" s="80"/>
      <x:c r="J10" s="80"/>
    </x:row>
    <x:row r="11">
      <x:c r="A11" s="80" t="str">
        <x:v>Upside</x:v>
      </x:c>
      <x:c r="B11" s="122" t="n">
        <x:f>'Revenue Model'!B6</x:f>
        <x:v>233647771.22348088</x:v>
      </x:c>
      <x:c r="C11" s="122" t="n">
        <x:f>'Revenue Model'!C6</x:f>
        <x:v>623060723.2626157</x:v>
      </x:c>
      <x:c r="D11" s="122" t="n">
        <x:f>'Revenue Model'!D6</x:f>
        <x:v>1168238856.1174045</x:v>
      </x:c>
      <x:c r="E11" s="122" t="n">
        <x:f>'Revenue Model'!E6</x:f>
        <x:v>1557651808.156539</x:v>
      </x:c>
      <x:c r="F11" s="122" t="n">
        <x:f>'Revenue Model'!F6</x:f>
        <x:v>1869182169.787847</x:v>
      </x:c>
      <x:c r="G11" s="80"/>
      <x:c r="H11" s="80"/>
      <x:c r="I11" s="80"/>
      <x:c r="J11" s="80"/>
    </x:row>
    <x:row r="12">
      <x:c r="A12" s="80"/>
      <x:c r="B12" s="80"/>
      <x:c r="C12" s="80"/>
      <x:c r="D12" s="80"/>
      <x:c r="E12" s="80"/>
      <x:c r="F12" s="80"/>
      <x:c r="G12" s="80"/>
      <x:c r="H12" s="80"/>
      <x:c r="I12" s="80"/>
      <x:c r="J12" s="8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</x:row>
    <x:row r="14">
      <x:c r="A14" s="22" t="str">
        <x:v>Patient Funnel</x:v>
      </x:c>
      <x:c r="B14" s="22" t="str">
        <x:v>Patients</x:v>
      </x:c>
      <x:c r="C14" s="22" t="str">
        <x:v>Conversion</x:v>
      </x:c>
      <x:c r="D14" s="22" t="str">
        <x:v>Share of Adults</x:v>
      </x:c>
      <x:c r="E14" s="80"/>
      <x:c r="F14" s="80"/>
      <x:c r="G14" s="80"/>
      <x:c r="H14" s="80"/>
      <x:c r="I14" s="80"/>
      <x:c r="J14" s="80"/>
    </x:row>
    <x:row r="15">
      <x:c r="A15" s="80" t="str">
        <x:f>'Patient Funnel'!A4</x:f>
        <x:v>US adult population</x:v>
      </x:c>
      <x:c r="B15" s="100" t="n">
        <x:f>'Patient Funnel'!B4</x:f>
        <x:v>262083034</x:v>
      </x:c>
      <x:c r="C15" s="85" t="n">
        <x:f>'Patient Funnel'!C4</x:f>
        <x:v>1</x:v>
      </x:c>
      <x:c r="D15" s="85" t="n">
        <x:f>'Patient Funnel'!D4</x:f>
        <x:v>1</x:v>
      </x:c>
      <x:c r="E15" s="80"/>
      <x:c r="F15" s="80"/>
      <x:c r="G15" s="80"/>
      <x:c r="H15" s="80"/>
      <x:c r="I15" s="80"/>
      <x:c r="J15" s="80"/>
    </x:row>
    <x:row r="16">
      <x:c r="A16" s="80" t="str">
        <x:f>'Patient Funnel'!A5</x:f>
        <x:v>Broad migraine/severe-headache population</x:v>
      </x:c>
      <x:c r="B16" s="100" t="n">
        <x:f>'Patient Funnel'!B5</x:f>
        <x:v>40098704.202</x:v>
      </x:c>
      <x:c r="C16" s="85" t="n">
        <x:f>'Patient Funnel'!C5</x:f>
        <x:v>0.153</x:v>
      </x:c>
      <x:c r="D16" s="85" t="n">
        <x:f>'Patient Funnel'!D5</x:f>
        <x:v>0.153</x:v>
      </x:c>
      <x:c r="E16" s="80"/>
      <x:c r="F16" s="80"/>
      <x:c r="G16" s="80"/>
      <x:c r="H16" s="80"/>
      <x:c r="I16" s="80"/>
      <x:c r="J16" s="80"/>
    </x:row>
    <x:row r="17">
      <x:c r="A17" s="80" t="str">
        <x:f>'Patient Funnel'!A6</x:f>
        <x:v>Diagnosed population</x:v>
      </x:c>
      <x:c r="B17" s="100" t="n">
        <x:f>'Patient Funnel'!B6</x:f>
        <x:v>22535471.761524003</x:v>
      </x:c>
      <x:c r="C17" s="85" t="n">
        <x:f>'Patient Funnel'!C6</x:f>
        <x:v>0.562</x:v>
      </x:c>
      <x:c r="D17" s="85" t="n">
        <x:f>'Patient Funnel'!D6</x:f>
        <x:v>0.085986</x:v>
      </x:c>
      <x:c r="E17" s="80"/>
      <x:c r="F17" s="80"/>
      <x:c r="G17" s="80"/>
      <x:c r="H17" s="80"/>
      <x:c r="I17" s="80"/>
      <x:c r="J17" s="80"/>
    </x:row>
    <x:row r="18">
      <x:c r="A18" s="80" t="str">
        <x:f>'Patient Funnel'!A7</x:f>
        <x:v>Modeled treatment-engaged population</x:v>
      </x:c>
      <x:c r="B18" s="100" t="n">
        <x:f>'Patient Funnel'!B7</x:f>
        <x:v>7211350.963687681</x:v>
      </x:c>
      <x:c r="C18" s="85" t="n">
        <x:f>'Patient Funnel'!C7</x:f>
        <x:v>0.32</x:v>
      </x:c>
      <x:c r="D18" s="85" t="n">
        <x:f>'Patient Funnel'!D7</x:f>
        <x:v>0.02751552</x:v>
      </x:c>
      <x:c r="E18" s="80"/>
      <x:c r="F18" s="80"/>
      <x:c r="G18" s="80"/>
      <x:c r="H18" s="80"/>
      <x:c r="I18" s="80"/>
      <x:c r="J18" s="80"/>
    </x:row>
    <x:row r="19">
      <x:c r="A19" s="80" t="str">
        <x:f>'Patient Funnel'!A8</x:f>
        <x:v>Preventive candidate pool</x:v>
      </x:c>
      <x:c r="B19" s="100" t="n">
        <x:f>'Patient Funnel'!B8</x:f>
        <x:v>2884540.3854750725</x:v>
      </x:c>
      <x:c r="C19" s="85" t="n">
        <x:f>'Patient Funnel'!C8</x:f>
        <x:v>0.4</x:v>
      </x:c>
      <x:c r="D19" s="85" t="n">
        <x:f>'Patient Funnel'!D8</x:f>
        <x:v>0.011006208000000002</x:v>
      </x:c>
      <x:c r="E19" s="80"/>
      <x:c r="F19" s="80"/>
      <x:c r="G19" s="80"/>
      <x:c r="H19" s="80"/>
      <x:c r="I19" s="80"/>
      <x:c r="J19" s="80"/>
    </x:row>
    <x:row r="20">
      <x:c r="A20" s="101" t="str">
        <x:f>'Patient Funnel'!A9</x:f>
        <x:v>Commercially addressable pool</x:v>
      </x:c>
      <x:c r="B20" s="102" t="n">
        <x:f>'Patient Funnel'!B9</x:f>
        <x:v>1153816.154190029</x:v>
      </x:c>
      <x:c r="C20" s="103" t="n">
        <x:f>'Patient Funnel'!C9</x:f>
        <x:v>0.4</x:v>
      </x:c>
      <x:c r="D20" s="103" t="n">
        <x:f>'Patient Funnel'!D9</x:f>
        <x:v>0.0044024832000000005</x:v>
      </x:c>
      <x:c r="E20" s="80"/>
      <x:c r="F20" s="80"/>
      <x:c r="G20" s="80"/>
      <x:c r="H20" s="80"/>
      <x:c r="I20" s="80"/>
      <x:c r="J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</x:row>
    <x:row r="23">
      <x:c r="A23" s="22" t="str">
        <x:v>Sensitivity Driver</x:v>
      </x:c>
      <x:c r="B23" s="22" t="str">
        <x:v>Low</x:v>
      </x:c>
      <x:c r="C23" s="22" t="str">
        <x:v>Base</x:v>
      </x:c>
      <x:c r="D23" s="22" t="str">
        <x:v>High</x:v>
      </x:c>
      <x:c r="E23" s="22" t="str">
        <x:v>Revenue Spread</x:v>
      </x:c>
      <x:c r="F23" s="80"/>
      <x:c r="G23" s="80"/>
      <x:c r="H23" s="80"/>
      <x:c r="I23" s="80"/>
      <x:c r="J23" s="80"/>
    </x:row>
    <x:row r="24">
      <x:c r="A24" s="80" t="str">
        <x:f>Sensitivity!A4</x:f>
        <x:v>Market Share</x:v>
      </x:c>
      <x:c r="B24" s="85" t="n">
        <x:f>Sensitivity!B4</x:f>
        <x:v>0.08</x:v>
      </x:c>
      <x:c r="C24" s="85" t="n">
        <x:f>Sensitivity!C4</x:f>
        <x:v>0.12</x:v>
      </x:c>
      <x:c r="D24" s="85" t="n">
        <x:f>Sensitivity!D4</x:f>
        <x:v>0.16</x:v>
      </x:c>
      <x:c r="E24" s="86" t="n">
        <x:f>Sensitivity!E4</x:f>
        <x:v>692289692.5140175</x:v>
      </x:c>
      <x:c r="F24" s="80"/>
      <x:c r="G24" s="80"/>
      <x:c r="H24" s="80"/>
      <x:c r="I24" s="80"/>
      <x:c r="J24" s="80"/>
    </x:row>
    <x:row r="25">
      <x:c r="A25" s="80" t="str">
        <x:f>Sensitivity!A5</x:f>
        <x:v>Net Price</x:v>
      </x:c>
      <x:c r="B25" s="86" t="n">
        <x:f>Sensitivity!B5</x:f>
        <x:v>6000</x:v>
      </x:c>
      <x:c r="C25" s="86" t="n">
        <x:f>Sensitivity!C5</x:f>
        <x:v>7500</x:v>
      </x:c>
      <x:c r="D25" s="86" t="n">
        <x:f>Sensitivity!D5</x:f>
        <x:v>9000</x:v>
      </x:c>
      <x:c r="E25" s="86" t="n">
        <x:f>Sensitivity!E5</x:f>
        <x:v>415373815.5084106</x:v>
      </x:c>
      <x:c r="F25" s="80"/>
      <x:c r="G25" s="80"/>
      <x:c r="H25" s="80"/>
      <x:c r="I25" s="80"/>
      <x:c r="J25" s="80"/>
    </x:row>
    <x:row r="26">
      <x:c r="A26" s="80" t="str">
        <x:f>Sensitivity!A6</x:f>
        <x:v>Addressable Patient Pool</x:v>
      </x:c>
      <x:c r="B26" s="100" t="n">
        <x:f>Sensitivity!B6</x:f>
        <x:v>923052.9233520232</x:v>
      </x:c>
      <x:c r="C26" s="100" t="n">
        <x:f>Sensitivity!C6</x:f>
        <x:v>1153816.154190029</x:v>
      </x:c>
      <x:c r="D26" s="100" t="n">
        <x:f>Sensitivity!D6</x:f>
        <x:v>1384579.3850280347</x:v>
      </x:c>
      <x:c r="E26" s="86" t="n">
        <x:f>Sensitivity!E6</x:f>
        <x:v>415373815.5084102</x:v>
      </x:c>
      <x:c r="F26" s="80"/>
      <x:c r="G26" s="80"/>
      <x:c r="H26" s="80"/>
      <x:c r="I26" s="80"/>
      <x:c r="J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</x:row>
    <x:row r="29">
      <x:c r="A29" s="22" t="str">
        <x:v>Recommendation</x:v>
      </x:c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 ht="24" customHeight="1">
      <x:c r="A30" s="76" t="str">
        <x:v>Advance to the next stage of commercial validation. The base case indicates meaningful modeled revenue potential, but patient-pool size, commercial access, achievable market share, and realized net price should be validated before a full launch commitment.</x:v>
      </x:c>
      <x:c r="B30" s="76"/>
      <x:c r="C30" s="76"/>
      <x:c r="D30" s="76"/>
      <x:c r="E30" s="76"/>
      <x:c r="F30" s="76"/>
      <x:c r="G30" s="76"/>
      <x:c r="H30" s="76"/>
      <x:c r="I30" s="76"/>
      <x:c r="J30" s="76"/>
    </x:row>
    <x:row r="31" ht="24" customHeight="1">
      <x:c r="A31" s="76"/>
      <x:c r="B31" s="76"/>
      <x:c r="C31" s="76"/>
      <x:c r="D31" s="76"/>
      <x:c r="E31" s="76"/>
      <x:c r="F31" s="76"/>
      <x:c r="G31" s="76"/>
      <x:c r="H31" s="76"/>
      <x:c r="I31" s="76"/>
      <x:c r="J31" s="76"/>
    </x:row>
    <x:row r="32" ht="24" customHeight="1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</x:row>
  </x:sheetData>
  <x:mergeCells>
    <x:mergeCell ref="A1:J1"/>
    <x:mergeCell ref="A3:B3"/>
    <x:mergeCell ref="C3:D3"/>
    <x:mergeCell ref="E3:F3"/>
    <x:mergeCell ref="G3:H3"/>
    <x:mergeCell ref="I3:J3"/>
    <x:mergeCell ref="A4:B5"/>
    <x:mergeCell ref="C4:D5"/>
    <x:mergeCell ref="E4:F5"/>
    <x:mergeCell ref="G4:H5"/>
    <x:mergeCell ref="I4:J5"/>
    <x:mergeCell ref="A29:J29"/>
    <x:mergeCell ref="A30:F32"/>
  </x:mergeCells>
  <x:pageMargins left="0.7" right="0.7" top="0.75" bottom="0.75" header="0.3" footer="0.3"/>
  <x:drawing xmlns:r="http://schemas.openxmlformats.org/officeDocument/2006/relationships" r:id="Rda3521777a894be0"/>
</x:worksheet>
</file>